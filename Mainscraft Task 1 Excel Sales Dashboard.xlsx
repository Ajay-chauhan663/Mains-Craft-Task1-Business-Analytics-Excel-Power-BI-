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auh\Downloads\"/>
    </mc:Choice>
  </mc:AlternateContent>
  <xr:revisionPtr revIDLastSave="0" documentId="13_ncr:1_{74838C46-8439-4558-912D-EE9C1222FC2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shboard_Summary" sheetId="1" r:id="rId1"/>
    <sheet name="Data" sheetId="2" r:id="rId2"/>
    <sheet name="Pivot_Region" sheetId="3" r:id="rId3"/>
    <sheet name="Pivot_Product" sheetId="4" r:id="rId4"/>
    <sheet name="Pivot_Monthly" sheetId="5" r:id="rId5"/>
    <sheet name="Pivot_Categor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6" l="1"/>
  <c r="B6" i="6"/>
  <c r="C5" i="6"/>
  <c r="B5" i="6"/>
  <c r="C4" i="6"/>
  <c r="C7" i="6" s="1"/>
  <c r="B4" i="6"/>
  <c r="B7" i="6" s="1"/>
  <c r="C10" i="5"/>
  <c r="B10" i="5"/>
  <c r="C9" i="5"/>
  <c r="B9" i="5"/>
  <c r="C8" i="5"/>
  <c r="B8" i="5"/>
  <c r="C7" i="5"/>
  <c r="B7" i="5"/>
  <c r="C6" i="5"/>
  <c r="B6" i="5"/>
  <c r="C5" i="5"/>
  <c r="B5" i="5"/>
  <c r="C4" i="5"/>
  <c r="C11" i="5" s="1"/>
  <c r="B4" i="5"/>
  <c r="B11" i="5" s="1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E8" i="1" s="1"/>
  <c r="D6" i="4"/>
  <c r="C6" i="4"/>
  <c r="D5" i="4"/>
  <c r="C5" i="4"/>
  <c r="D4" i="4"/>
  <c r="D16" i="4" s="1"/>
  <c r="C4" i="4"/>
  <c r="C16" i="4" s="1"/>
  <c r="C8" i="3"/>
  <c r="D8" i="3" s="1"/>
  <c r="D7" i="3"/>
  <c r="C7" i="3"/>
  <c r="B7" i="3"/>
  <c r="C6" i="3"/>
  <c r="D6" i="3" s="1"/>
  <c r="B6" i="3"/>
  <c r="B8" i="3" s="1"/>
  <c r="D5" i="3"/>
  <c r="C5" i="3"/>
  <c r="B5" i="3"/>
  <c r="C4" i="3"/>
  <c r="D4" i="3" s="1"/>
  <c r="B4" i="3"/>
  <c r="C8" i="1" s="1"/>
  <c r="B17" i="1"/>
  <c r="B16" i="1"/>
  <c r="B15" i="1"/>
  <c r="B14" i="1"/>
  <c r="B13" i="1"/>
  <c r="A8" i="1"/>
  <c r="E5" i="1"/>
  <c r="C5" i="1"/>
  <c r="A5" i="1"/>
</calcChain>
</file>

<file path=xl/sharedStrings.xml><?xml version="1.0" encoding="utf-8"?>
<sst xmlns="http://schemas.openxmlformats.org/spreadsheetml/2006/main" count="586" uniqueCount="158">
  <si>
    <t>SALES PERFORMANCE DASHBOARD — SUMMARY</t>
  </si>
  <si>
    <t>Period: Jan 2025 - Jul 2025  |  Source: Data sheet (100 orders)</t>
  </si>
  <si>
    <t>Total Sales</t>
  </si>
  <si>
    <t>Total Profit</t>
  </si>
  <si>
    <t>Profit Margin</t>
  </si>
  <si>
    <t>Total Orders</t>
  </si>
  <si>
    <t>Best Region</t>
  </si>
  <si>
    <t>Top Product</t>
  </si>
  <si>
    <t>Top 5 Products by Sales</t>
  </si>
  <si>
    <t>Product</t>
  </si>
  <si>
    <t>Sales</t>
  </si>
  <si>
    <t>Laptop</t>
  </si>
  <si>
    <t>Smartphone</t>
  </si>
  <si>
    <t>Monitor</t>
  </si>
  <si>
    <t>Printer</t>
  </si>
  <si>
    <t>Desk</t>
  </si>
  <si>
    <t>Order_ID</t>
  </si>
  <si>
    <t>ORDER DATE</t>
  </si>
  <si>
    <t>REGION</t>
  </si>
  <si>
    <t>PRODUCT</t>
  </si>
  <si>
    <t>CATEGORY</t>
  </si>
  <si>
    <t>SALES AMOUNT</t>
  </si>
  <si>
    <t>PROFIT</t>
  </si>
  <si>
    <t>QUANTITY</t>
  </si>
  <si>
    <t>PROFIT MARGIN</t>
  </si>
  <si>
    <t>MONTH</t>
  </si>
  <si>
    <t>ORD001</t>
  </si>
  <si>
    <t>North</t>
  </si>
  <si>
    <t>Electronics</t>
  </si>
  <si>
    <t>Jan</t>
  </si>
  <si>
    <t>ORD002</t>
  </si>
  <si>
    <t>South</t>
  </si>
  <si>
    <t>ORD003</t>
  </si>
  <si>
    <t>East</t>
  </si>
  <si>
    <t>Chair</t>
  </si>
  <si>
    <t>Furniture</t>
  </si>
  <si>
    <t>ORD004</t>
  </si>
  <si>
    <t>West</t>
  </si>
  <si>
    <t>Table</t>
  </si>
  <si>
    <t>ORD005</t>
  </si>
  <si>
    <t>ORD006</t>
  </si>
  <si>
    <t>Notebook</t>
  </si>
  <si>
    <t>Stationery</t>
  </si>
  <si>
    <t>ORD007</t>
  </si>
  <si>
    <t>Pen Set</t>
  </si>
  <si>
    <t>ORD008</t>
  </si>
  <si>
    <t>ORD009</t>
  </si>
  <si>
    <t>ORD010</t>
  </si>
  <si>
    <t>Mouse</t>
  </si>
  <si>
    <t>ORD011</t>
  </si>
  <si>
    <t>Keyboard</t>
  </si>
  <si>
    <t>ORD012</t>
  </si>
  <si>
    <t>Bookshelf</t>
  </si>
  <si>
    <t>ORD013</t>
  </si>
  <si>
    <t>ORD014</t>
  </si>
  <si>
    <t>ORD015</t>
  </si>
  <si>
    <t>ORD016</t>
  </si>
  <si>
    <t>Feb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</si>
  <si>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</si>
  <si>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</si>
  <si>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</si>
  <si>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</si>
  <si>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</si>
  <si>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</si>
  <si>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</si>
  <si>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</si>
  <si>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</si>
  <si>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</si>
  <si>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</si>
  <si>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</si>
  <si>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</si>
  <si>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</si>
  <si>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</si>
  <si>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Mar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</si>
  <si>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</si>
  <si>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</si>
  <si>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</si>
  <si>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</si>
  <si>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</si>
  <si>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</si>
  <si>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</si>
  <si>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</si>
  <si>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</si>
  <si>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</si>
  <si>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</si>
  <si>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</si>
  <si>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</si>
  <si>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</si>
  <si>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</si>
  <si>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Apr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</si>
  <si>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</si>
  <si>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</si>
  <si>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</si>
  <si>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</si>
  <si>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</si>
  <si>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</si>
  <si>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</si>
  <si>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</si>
  <si>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</si>
  <si>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</si>
  <si>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</si>
  <si>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</si>
  <si>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</si>
  <si>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</si>
  <si>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</si>
  <si>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May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</si>
  <si>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</si>
  <si>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</si>
  <si>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</si>
  <si>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</si>
  <si>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</si>
  <si>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</si>
  <si>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</si>
  <si>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</si>
  <si>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</si>
  <si>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</si>
  <si>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</si>
  <si>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</si>
  <si>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</si>
  <si>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</si>
  <si>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</si>
  <si>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Jun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</si>
  <si>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</si>
  <si>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</si>
  <si>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</si>
  <si>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</si>
  <si>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</si>
  <si>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</si>
  <si>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</si>
  <si>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</si>
  <si>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</si>
  <si>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</si>
  <si>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</si>
  <si>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</si>
  <si>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</si>
  <si>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</si>
  <si>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</si>
  <si>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Jul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</si>
  <si>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</si>
  <si>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</si>
  <si>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</si>
  <si>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</si>
  <si>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</si>
  <si>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</si>
  <si>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</si>
  <si>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</si>
  <si>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</si>
  <si>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Region-wise Sales &amp; Profit</t>
  </si>
  <si>
    <t>Region</t>
  </si>
  <si>
    <t>Sum of Sales Amount</t>
  </si>
  <si>
    <t>Sum of Profit</t>
  </si>
  <si>
    <t>Profit Margin %</t>
  </si>
  <si>
    <t>Grand Total</t>
  </si>
  <si>
    <t>Product-wise Sales (Ranked)</t>
  </si>
  <si>
    <t>Category</t>
  </si>
  <si>
    <t>Monthly Sales Trend</t>
  </si>
  <si>
    <t>Month</t>
  </si>
  <si>
    <t>Category-wise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</si>
</sst>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yyyy\-mm\-dd"/>
  </numFmts>
  <fonts count="9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666666"/>
      <name val="Arial"/>
      <charset val="1"/>
    </font>
    <font>
      <b/>
      <sz val="10"/>
      <color rgb="FFFFFFFF"/>
      <name val="Arial"/>
      <charset val="1"/>
    </font>
    <font>
      <b/>
      <sz val="18"/>
      <color rgb="FF1F4E78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1F4E7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4F81BD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8" fillId="0" borderId="0" xfId="0" applyFont="1"/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0" borderId="0" xfId="0" applyFont="1"/>
    <xf numFmtId="0" fontId="6" fillId="3" borderId="1" xfId="0" applyFont="1" applyFill="1" applyBorder="1"/>
    <xf numFmtId="0" fontId="7" fillId="0" borderId="1" xfId="0" applyFont="1" applyBorder="1"/>
    <xf numFmtId="164" fontId="0" fillId="0" borderId="1" xfId="0" applyNumberFormat="1" applyBorder="1"/>
    <xf numFmtId="0" fontId="6" fillId="3" borderId="1" xfId="0" applyFont="1" applyFill="1" applyBorder="1" applyAlignment="1">
      <alignment horizontal="center" vertical="center"/>
    </xf>
    <xf numFmtId="166" fontId="7" fillId="0" borderId="1" xfId="0" applyNumberFormat="1" applyFont="1" applyBorder="1"/>
    <xf numFmtId="164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5" fillId="4" borderId="1" xfId="0" applyFont="1" applyFill="1" applyBorder="1"/>
    <xf numFmtId="164" fontId="5" fillId="4" borderId="1" xfId="0" applyNumberFormat="1" applyFont="1" applyFill="1" applyBorder="1"/>
    <xf numFmtId="165" fontId="5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0B0B0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C0504D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Region-wise Sales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Pivot_Region!$B$3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D96B-46DD-96EA-228305A2250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96B-46DD-96EA-228305A2250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96B-46DD-96EA-228305A2250F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D96B-46DD-96EA-228305A2250F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96B-46DD-96EA-228305A2250F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D96B-46DD-96EA-228305A2250F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D96B-46DD-96EA-228305A2250F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D96B-46DD-96EA-228305A225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Pivot_Region!$A$4:$A$7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Pivot_Region!$B$4:$B$7</c:f>
              <c:numCache>
                <c:formatCode>\$#,##0</c:formatCode>
                <c:ptCount val="4"/>
                <c:pt idx="0">
                  <c:v>853600</c:v>
                </c:pt>
                <c:pt idx="1">
                  <c:v>325500</c:v>
                </c:pt>
                <c:pt idx="2">
                  <c:v>257100</c:v>
                </c:pt>
                <c:pt idx="3">
                  <c:v>230200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6B-46DD-96EA-228305A22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Top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Pivot_Product!$C$3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Pivot_Product!$A$4:$A$15</c:f>
              <c:strCache>
                <c:ptCount val="12"/>
                <c:pt idx="0">
                  <c:v>Laptop</c:v>
                </c:pt>
                <c:pt idx="1">
                  <c:v>Smartphone</c:v>
                </c:pt>
                <c:pt idx="2">
                  <c:v>Monitor</c:v>
                </c:pt>
                <c:pt idx="3">
                  <c:v>Printer</c:v>
                </c:pt>
                <c:pt idx="4">
                  <c:v>Desk</c:v>
                </c:pt>
                <c:pt idx="5">
                  <c:v>Table</c:v>
                </c:pt>
                <c:pt idx="6">
                  <c:v>Bookshelf</c:v>
                </c:pt>
                <c:pt idx="7">
                  <c:v>Chair</c:v>
                </c:pt>
                <c:pt idx="8">
                  <c:v>Keyboard</c:v>
                </c:pt>
                <c:pt idx="9">
                  <c:v>Mouse</c:v>
                </c:pt>
                <c:pt idx="10">
                  <c:v>Notebook</c:v>
                </c:pt>
                <c:pt idx="11">
                  <c:v>Pen Set</c:v>
                </c:pt>
              </c:strCache>
            </c:strRef>
          </c:cat>
          <c:val>
            <c:numRef>
              <c:f>Pivot_Product!$C$4:$C$15</c:f>
              <c:numCache>
                <c:formatCode>\$#,##0</c:formatCode>
                <c:ptCount val="12"/>
                <c:pt idx="0">
                  <c:v>569000</c:v>
                </c:pt>
                <c:pt idx="1">
                  <c:v>273000</c:v>
                </c:pt>
                <c:pt idx="2">
                  <c:v>154000</c:v>
                </c:pt>
                <c:pt idx="3">
                  <c:v>153000</c:v>
                </c:pt>
                <c:pt idx="4">
                  <c:v>126000</c:v>
                </c:pt>
                <c:pt idx="5">
                  <c:v>110000</c:v>
                </c:pt>
                <c:pt idx="6">
                  <c:v>94000</c:v>
                </c:pt>
                <c:pt idx="7">
                  <c:v>78500</c:v>
                </c:pt>
                <c:pt idx="8">
                  <c:v>42300</c:v>
                </c:pt>
                <c:pt idx="9">
                  <c:v>29700</c:v>
                </c:pt>
                <c:pt idx="10">
                  <c:v>23100</c:v>
                </c:pt>
                <c:pt idx="11">
                  <c:v>13800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E4-41D0-BBFC-9C7CD3BA2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905379"/>
        <c:axId val="7029101"/>
      </c:barChart>
      <c:catAx>
        <c:axId val="709053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9101"/>
        <c:crosses val="autoZero"/>
        <c:auto val="1"/>
        <c:lblAlgn val="ctr"/>
        <c:lblOffset val="100"/>
        <c:noMultiLvlLbl val="0"/>
      </c:catAx>
      <c:valAx>
        <c:axId val="70291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Sales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053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Pivot_Monthly!$B$3</c:f>
              <c:strCache>
                <c:ptCount val="1"/>
                <c:pt idx="0">
                  <c:v>Sum of Sales Amount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Pivot_Monthly!$A$4:$A$10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Pivot_Monthly!$B$4:$B$10</c:f>
              <c:numCache>
                <c:formatCode>\$#,##0</c:formatCode>
                <c:ptCount val="7"/>
                <c:pt idx="0">
                  <c:v>253200</c:v>
                </c:pt>
                <c:pt idx="1">
                  <c:v>228800</c:v>
                </c:pt>
                <c:pt idx="2">
                  <c:v>227800</c:v>
                </c:pt>
                <c:pt idx="3">
                  <c:v>220200</c:v>
                </c:pt>
                <c:pt idx="4">
                  <c:v>299400</c:v>
                </c:pt>
                <c:pt idx="5">
                  <c:v>270700</c:v>
                </c:pt>
                <c:pt idx="6">
                  <c:v>166300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7C-4EB0-BEE9-90EA385C9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9834709"/>
        <c:axId val="8668624"/>
      </c:lineChart>
      <c:catAx>
        <c:axId val="898347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68624"/>
        <c:crosses val="autoZero"/>
        <c:auto val="1"/>
        <c:lblAlgn val="ctr"/>
        <c:lblOffset val="100"/>
        <c:noMultiLvlLbl val="0"/>
      </c:catAx>
      <c:valAx>
        <c:axId val="86686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Sales 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8347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12</xdr:col>
      <xdr:colOff>39240</xdr:colOff>
      <xdr:row>16</xdr:row>
      <xdr:rowOff>182520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15</xdr:col>
      <xdr:colOff>364680</xdr:colOff>
      <xdr:row>18</xdr:row>
      <xdr:rowOff>161640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160560</xdr:rowOff>
    </xdr:from>
    <xdr:to>
      <xdr:col>13</xdr:col>
      <xdr:colOff>255960</xdr:colOff>
      <xdr:row>16</xdr:row>
      <xdr:rowOff>182520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J101" totalsRowShown="0">
  <autoFilter ref="A1:J101" xr:uid="{00000000-0009-0000-0100-000001000000}"/>
  <tableColumns count="10">
    <tableColumn id="1" xr3:uid="{00000000-0010-0000-0000-000001000000}" name="Order_ID"/>
    <tableColumn id="2" xr3:uid="{00000000-0010-0000-0000-000002000000}" name="ORDER DATE"/>
    <tableColumn id="3" xr3:uid="{00000000-0010-0000-0000-000003000000}" name="REGION"/>
    <tableColumn id="4" xr3:uid="{00000000-0010-0000-0000-000004000000}" name="PRODUCT"/>
    <tableColumn id="5" xr3:uid="{00000000-0010-0000-0000-000005000000}" name="CATEGORY"/>
    <tableColumn id="6" xr3:uid="{00000000-0010-0000-0000-000006000000}" name="SALES AMOUNT"/>
    <tableColumn id="7" xr3:uid="{00000000-0010-0000-0000-000007000000}" name="PROFIT"/>
    <tableColumn id="8" xr3:uid="{00000000-0010-0000-0000-000008000000}" name="QUANTITY"/>
    <tableColumn id="9" xr3:uid="{00000000-0010-0000-0000-000009000000}" name="PROFIT MARGIN"/>
    <tableColumn id="10" xr3:uid="{00000000-0010-0000-0000-00000A000000}" name="MONTH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83" zoomScaleNormal="83" workbookViewId="0">
      <selection activeCell="D3" sqref="D3"/>
    </sheetView>
  </sheetViews>
  <sheetFormatPr defaultColWidth="8.6328125" defaultRowHeight="14.5" x14ac:dyDescent="0.35"/>
  <cols>
    <col min="1" max="1" width="16" customWidth="1"/>
    <col min="2" max="2" width="14" customWidth="1"/>
    <col min="3" max="3" width="16" customWidth="1"/>
    <col min="4" max="4" width="14" customWidth="1"/>
    <col min="5" max="5" width="16" customWidth="1"/>
    <col min="6" max="6" width="14" customWidth="1"/>
  </cols>
  <sheetData>
    <row r="1" spans="1:6" ht="20" x14ac:dyDescent="0.4">
      <c r="A1" s="8" t="s">
        <v>0</v>
      </c>
      <c r="B1" s="8"/>
      <c r="C1" s="8"/>
      <c r="D1" s="8"/>
      <c r="E1" s="8"/>
      <c r="F1" s="8"/>
    </row>
    <row r="2" spans="1:6" x14ac:dyDescent="0.35">
      <c r="A2" s="7" t="s">
        <v>1</v>
      </c>
      <c r="B2" s="7"/>
      <c r="C2" s="7"/>
      <c r="D2" s="7"/>
      <c r="E2" s="7"/>
      <c r="F2" s="7"/>
    </row>
    <row r="4" spans="1:6" x14ac:dyDescent="0.35">
      <c r="A4" s="6" t="s">
        <v>2</v>
      </c>
      <c r="B4" s="6"/>
      <c r="C4" s="6" t="s">
        <v>3</v>
      </c>
      <c r="D4" s="6"/>
      <c r="E4" s="6" t="s">
        <v>4</v>
      </c>
      <c r="F4" s="6"/>
    </row>
    <row r="5" spans="1:6" ht="23" x14ac:dyDescent="0.35">
      <c r="A5" s="5">
        <f>SUM(Data!F:F)</f>
        <v>1666400</v>
      </c>
      <c r="B5" s="5"/>
      <c r="C5" s="5">
        <f>SUM(Data!G:G)</f>
        <v>261480</v>
      </c>
      <c r="D5" s="5"/>
      <c r="E5" s="4">
        <f>SUM(Data!G:G)/SUM(Data!F:F)</f>
        <v>0.15691310609697551</v>
      </c>
      <c r="F5" s="4"/>
    </row>
    <row r="7" spans="1:6" x14ac:dyDescent="0.35">
      <c r="A7" s="6" t="s">
        <v>5</v>
      </c>
      <c r="B7" s="6"/>
      <c r="C7" s="6" t="s">
        <v>6</v>
      </c>
      <c r="D7" s="6"/>
      <c r="E7" s="6" t="s">
        <v>7</v>
      </c>
      <c r="F7" s="6"/>
    </row>
    <row r="8" spans="1:6" ht="23" x14ac:dyDescent="0.35">
      <c r="A8" s="3">
        <f>COUNTA(Data!A:A)-1</f>
        <v>100</v>
      </c>
      <c r="B8" s="3"/>
      <c r="C8" s="2" t="str">
        <f>INDEX(Pivot_Region!A4:A7,MATCH(MAX(Pivot_Region!B4:B7),Pivot_Region!B4:B7,0))</f>
        <v>North</v>
      </c>
      <c r="D8" s="2"/>
      <c r="E8" s="2" t="str">
        <f>INDEX(Pivot_Product!A4:A15,MATCH(MAX(Pivot_Product!C4:C15),Pivot_Product!C4:C15,0))</f>
        <v>Laptop</v>
      </c>
      <c r="F8" s="2"/>
    </row>
    <row r="11" spans="1:6" x14ac:dyDescent="0.35">
      <c r="A11" s="9" t="s">
        <v>8</v>
      </c>
    </row>
    <row r="12" spans="1:6" x14ac:dyDescent="0.35">
      <c r="A12" s="10" t="s">
        <v>9</v>
      </c>
      <c r="B12" s="10" t="s">
        <v>10</v>
      </c>
    </row>
    <row r="13" spans="1:6" x14ac:dyDescent="0.35">
      <c r="A13" s="11" t="s">
        <v>11</v>
      </c>
      <c r="B13" s="12">
        <f>SUMIF(Data!D:D,A13,Data!F:F)</f>
        <v>569000</v>
      </c>
    </row>
    <row r="14" spans="1:6" x14ac:dyDescent="0.35">
      <c r="A14" s="11" t="s">
        <v>12</v>
      </c>
      <c r="B14" s="12">
        <f>SUMIF(Data!D:D,A14,Data!F:F)</f>
        <v>273000</v>
      </c>
    </row>
    <row r="15" spans="1:6" x14ac:dyDescent="0.35">
      <c r="A15" s="11" t="s">
        <v>13</v>
      </c>
      <c r="B15" s="12">
        <f>SUMIF(Data!D:D,A15,Data!F:F)</f>
        <v>154000</v>
      </c>
    </row>
    <row r="16" spans="1:6" x14ac:dyDescent="0.35">
      <c r="A16" s="11" t="s">
        <v>14</v>
      </c>
      <c r="B16" s="12">
        <f>SUMIF(Data!D:D,A16,Data!F:F)</f>
        <v>153000</v>
      </c>
    </row>
    <row r="17" spans="1:2" x14ac:dyDescent="0.35">
      <c r="A17" s="11" t="s">
        <v>15</v>
      </c>
      <c r="B17" s="12">
        <f>SUMIF(Data!D:D,A17,Data!F:F)</f>
        <v>126000</v>
      </c>
    </row>
  </sheetData>
  <mergeCells count="14">
    <mergeCell ref="A8:B8"/>
    <mergeCell ref="C8:D8"/>
    <mergeCell ref="E8:F8"/>
    <mergeCell ref="A5:B5"/>
    <mergeCell ref="C5:D5"/>
    <mergeCell ref="E5:F5"/>
    <mergeCell ref="A7:B7"/>
    <mergeCell ref="C7:D7"/>
    <mergeCell ref="E7:F7"/>
    <mergeCell ref="A1:F1"/>
    <mergeCell ref="A2:F2"/>
    <mergeCell ref="A4:B4"/>
    <mergeCell ref="C4:D4"/>
    <mergeCell ref="E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12" customWidth="1"/>
    <col min="3" max="3" width="10" customWidth="1"/>
    <col min="4" max="5" width="12" customWidth="1"/>
    <col min="6" max="6" width="14" customWidth="1"/>
    <col min="7" max="7" width="12" customWidth="1"/>
    <col min="8" max="8" width="10" customWidth="1"/>
    <col min="9" max="9" width="13" customWidth="1"/>
    <col min="10" max="10" width="8" customWidth="1"/>
  </cols>
  <sheetData>
    <row r="1" spans="1:10" x14ac:dyDescent="0.35">
      <c r="A1" s="13" t="s">
        <v>16</v>
      </c>
      <c r="B1" s="13" t="s">
        <v>17</v>
      </c>
      <c r="C1" s="13" t="s">
        <v>18</v>
      </c>
      <c r="D1" s="13" t="s">
        <v>19</v>
      </c>
      <c r="E1" s="13" t="s">
        <v>20</v>
      </c>
      <c r="F1" s="13" t="s">
        <v>21</v>
      </c>
      <c r="G1" s="13" t="s">
        <v>22</v>
      </c>
      <c r="H1" s="13" t="s">
        <v>23</v>
      </c>
      <c r="I1" s="13" t="s">
        <v>24</v>
      </c>
      <c r="J1" s="13" t="s">
        <v>25</v>
      </c>
    </row>
    <row r="2" spans="1:10" x14ac:dyDescent="0.35">
      <c r="A2" s="11" t="s">
        <v>26</v>
      </c>
      <c r="B2" s="14">
        <v>45660</v>
      </c>
      <c r="C2" s="11" t="s">
        <v>27</v>
      </c>
      <c r="D2" s="11" t="s">
        <v>11</v>
      </c>
      <c r="E2" s="11" t="s">
        <v>28</v>
      </c>
      <c r="F2" s="15">
        <v>55000</v>
      </c>
      <c r="G2" s="15">
        <v>8000</v>
      </c>
      <c r="H2" s="16">
        <v>2</v>
      </c>
      <c r="I2" s="17">
        <v>0.145454545454545</v>
      </c>
      <c r="J2" s="11" t="s">
        <v>29</v>
      </c>
    </row>
    <row r="3" spans="1:10" x14ac:dyDescent="0.35">
      <c r="A3" s="11" t="s">
        <v>30</v>
      </c>
      <c r="B3" s="14">
        <v>45662</v>
      </c>
      <c r="C3" s="11" t="s">
        <v>31</v>
      </c>
      <c r="D3" s="11" t="s">
        <v>12</v>
      </c>
      <c r="E3" s="11" t="s">
        <v>28</v>
      </c>
      <c r="F3" s="15">
        <v>30000</v>
      </c>
      <c r="G3" s="15">
        <v>4500</v>
      </c>
      <c r="H3" s="16">
        <v>3</v>
      </c>
      <c r="I3" s="17">
        <v>0.15</v>
      </c>
      <c r="J3" s="11" t="s">
        <v>29</v>
      </c>
    </row>
    <row r="4" spans="1:10" x14ac:dyDescent="0.35">
      <c r="A4" s="11" t="s">
        <v>32</v>
      </c>
      <c r="B4" s="14">
        <v>45663</v>
      </c>
      <c r="C4" s="11" t="s">
        <v>33</v>
      </c>
      <c r="D4" s="11" t="s">
        <v>34</v>
      </c>
      <c r="E4" s="11" t="s">
        <v>35</v>
      </c>
      <c r="F4" s="15">
        <v>8000</v>
      </c>
      <c r="G4" s="15">
        <v>1200</v>
      </c>
      <c r="H4" s="16">
        <v>4</v>
      </c>
      <c r="I4" s="17">
        <v>0.15</v>
      </c>
      <c r="J4" s="11" t="s">
        <v>29</v>
      </c>
    </row>
    <row r="5" spans="1:10" x14ac:dyDescent="0.35">
      <c r="A5" s="11" t="s">
        <v>36</v>
      </c>
      <c r="B5" s="14">
        <v>45665</v>
      </c>
      <c r="C5" s="11" t="s">
        <v>37</v>
      </c>
      <c r="D5" s="11" t="s">
        <v>38</v>
      </c>
      <c r="E5" s="11" t="s">
        <v>35</v>
      </c>
      <c r="F5" s="15">
        <v>12000</v>
      </c>
      <c r="G5" s="15">
        <v>1800</v>
      </c>
      <c r="H5" s="16">
        <v>2</v>
      </c>
      <c r="I5" s="17">
        <v>0.15</v>
      </c>
      <c r="J5" s="11" t="s">
        <v>29</v>
      </c>
    </row>
    <row r="6" spans="1:10" x14ac:dyDescent="0.35">
      <c r="A6" s="11" t="s">
        <v>39</v>
      </c>
      <c r="B6" s="14">
        <v>45667</v>
      </c>
      <c r="C6" s="11" t="s">
        <v>27</v>
      </c>
      <c r="D6" s="11" t="s">
        <v>14</v>
      </c>
      <c r="E6" s="11" t="s">
        <v>28</v>
      </c>
      <c r="F6" s="15">
        <v>15000</v>
      </c>
      <c r="G6" s="15">
        <v>2500</v>
      </c>
      <c r="H6" s="16">
        <v>2</v>
      </c>
      <c r="I6" s="17">
        <v>0.16666666666666699</v>
      </c>
      <c r="J6" s="11" t="s">
        <v>29</v>
      </c>
    </row>
    <row r="7" spans="1:10" x14ac:dyDescent="0.35">
      <c r="A7" s="11" t="s">
        <v>40</v>
      </c>
      <c r="B7" s="14">
        <v>45669</v>
      </c>
      <c r="C7" s="11" t="s">
        <v>31</v>
      </c>
      <c r="D7" s="11" t="s">
        <v>41</v>
      </c>
      <c r="E7" s="11" t="s">
        <v>42</v>
      </c>
      <c r="F7" s="15">
        <v>2000</v>
      </c>
      <c r="G7" s="15">
        <v>400</v>
      </c>
      <c r="H7" s="16">
        <v>10</v>
      </c>
      <c r="I7" s="17">
        <v>0.2</v>
      </c>
      <c r="J7" s="11" t="s">
        <v>29</v>
      </c>
    </row>
    <row r="8" spans="1:10" x14ac:dyDescent="0.35">
      <c r="A8" s="11" t="s">
        <v>43</v>
      </c>
      <c r="B8" s="14">
        <v>45670</v>
      </c>
      <c r="C8" s="11" t="s">
        <v>33</v>
      </c>
      <c r="D8" s="11" t="s">
        <v>44</v>
      </c>
      <c r="E8" s="11" t="s">
        <v>42</v>
      </c>
      <c r="F8" s="15">
        <v>1200</v>
      </c>
      <c r="G8" s="15">
        <v>250</v>
      </c>
      <c r="H8" s="16">
        <v>15</v>
      </c>
      <c r="I8" s="17">
        <v>0.20833333333333301</v>
      </c>
      <c r="J8" s="11" t="s">
        <v>29</v>
      </c>
    </row>
    <row r="9" spans="1:10" x14ac:dyDescent="0.35">
      <c r="A9" s="11" t="s">
        <v>45</v>
      </c>
      <c r="B9" s="14">
        <v>45672</v>
      </c>
      <c r="C9" s="11" t="s">
        <v>37</v>
      </c>
      <c r="D9" s="11" t="s">
        <v>13</v>
      </c>
      <c r="E9" s="11" t="s">
        <v>28</v>
      </c>
      <c r="F9" s="15">
        <v>18000</v>
      </c>
      <c r="G9" s="15">
        <v>2800</v>
      </c>
      <c r="H9" s="16">
        <v>2</v>
      </c>
      <c r="I9" s="17">
        <v>0.155555555555556</v>
      </c>
      <c r="J9" s="11" t="s">
        <v>29</v>
      </c>
    </row>
    <row r="10" spans="1:10" x14ac:dyDescent="0.35">
      <c r="A10" s="11" t="s">
        <v>46</v>
      </c>
      <c r="B10" s="14">
        <v>45674</v>
      </c>
      <c r="C10" s="11" t="s">
        <v>27</v>
      </c>
      <c r="D10" s="11" t="s">
        <v>15</v>
      </c>
      <c r="E10" s="11" t="s">
        <v>35</v>
      </c>
      <c r="F10" s="15">
        <v>14000</v>
      </c>
      <c r="G10" s="15">
        <v>2100</v>
      </c>
      <c r="H10" s="16">
        <v>1</v>
      </c>
      <c r="I10" s="17">
        <v>0.15</v>
      </c>
      <c r="J10" s="11" t="s">
        <v>29</v>
      </c>
    </row>
    <row r="11" spans="1:10" x14ac:dyDescent="0.35">
      <c r="A11" s="11" t="s">
        <v>47</v>
      </c>
      <c r="B11" s="14">
        <v>45675</v>
      </c>
      <c r="C11" s="11" t="s">
        <v>31</v>
      </c>
      <c r="D11" s="11" t="s">
        <v>48</v>
      </c>
      <c r="E11" s="11" t="s">
        <v>28</v>
      </c>
      <c r="F11" s="15">
        <v>3000</v>
      </c>
      <c r="G11" s="15">
        <v>500</v>
      </c>
      <c r="H11" s="16">
        <v>5</v>
      </c>
      <c r="I11" s="17">
        <v>0.16666666666666699</v>
      </c>
      <c r="J11" s="11" t="s">
        <v>29</v>
      </c>
    </row>
    <row r="12" spans="1:10" x14ac:dyDescent="0.35">
      <c r="A12" s="11" t="s">
        <v>49</v>
      </c>
      <c r="B12" s="14">
        <v>45677</v>
      </c>
      <c r="C12" s="11" t="s">
        <v>33</v>
      </c>
      <c r="D12" s="11" t="s">
        <v>50</v>
      </c>
      <c r="E12" s="11" t="s">
        <v>28</v>
      </c>
      <c r="F12" s="15">
        <v>4500</v>
      </c>
      <c r="G12" s="15">
        <v>700</v>
      </c>
      <c r="H12" s="16">
        <v>4</v>
      </c>
      <c r="I12" s="17">
        <v>0.155555555555556</v>
      </c>
      <c r="J12" s="11" t="s">
        <v>29</v>
      </c>
    </row>
    <row r="13" spans="1:10" x14ac:dyDescent="0.35">
      <c r="A13" s="11" t="s">
        <v>51</v>
      </c>
      <c r="B13" s="14">
        <v>45679</v>
      </c>
      <c r="C13" s="11" t="s">
        <v>37</v>
      </c>
      <c r="D13" s="11" t="s">
        <v>52</v>
      </c>
      <c r="E13" s="11" t="s">
        <v>35</v>
      </c>
      <c r="F13" s="15">
        <v>10000</v>
      </c>
      <c r="G13" s="15">
        <v>1600</v>
      </c>
      <c r="H13" s="16">
        <v>2</v>
      </c>
      <c r="I13" s="17">
        <v>0.16</v>
      </c>
      <c r="J13" s="11" t="s">
        <v>29</v>
      </c>
    </row>
    <row r="14" spans="1:10" x14ac:dyDescent="0.35">
      <c r="A14" s="11" t="s">
        <v>53</v>
      </c>
      <c r="B14" s="14">
        <v>45681</v>
      </c>
      <c r="C14" s="11" t="s">
        <v>27</v>
      </c>
      <c r="D14" s="11" t="s">
        <v>11</v>
      </c>
      <c r="E14" s="11" t="s">
        <v>28</v>
      </c>
      <c r="F14" s="15">
        <v>57000</v>
      </c>
      <c r="G14" s="15">
        <v>8500</v>
      </c>
      <c r="H14" s="16">
        <v>2</v>
      </c>
      <c r="I14" s="17">
        <v>0.14912280701754399</v>
      </c>
      <c r="J14" s="11" t="s">
        <v>29</v>
      </c>
    </row>
    <row r="15" spans="1:10" x14ac:dyDescent="0.35">
      <c r="A15" s="11" t="s">
        <v>54</v>
      </c>
      <c r="B15" s="14">
        <v>45683</v>
      </c>
      <c r="C15" s="11" t="s">
        <v>31</v>
      </c>
      <c r="D15" s="11" t="s">
        <v>34</v>
      </c>
      <c r="E15" s="11" t="s">
        <v>35</v>
      </c>
      <c r="F15" s="15">
        <v>7500</v>
      </c>
      <c r="G15" s="15">
        <v>1100</v>
      </c>
      <c r="H15" s="16">
        <v>3</v>
      </c>
      <c r="I15" s="17">
        <v>0.146666666666667</v>
      </c>
      <c r="J15" s="11" t="s">
        <v>29</v>
      </c>
    </row>
    <row r="16" spans="1:10" x14ac:dyDescent="0.35">
      <c r="A16" s="11" t="s">
        <v>55</v>
      </c>
      <c r="B16" s="14">
        <v>45685</v>
      </c>
      <c r="C16" s="11" t="s">
        <v>33</v>
      </c>
      <c r="D16" s="11" t="s">
        <v>14</v>
      </c>
      <c r="E16" s="11" t="s">
        <v>28</v>
      </c>
      <c r="F16" s="15">
        <v>16000</v>
      </c>
      <c r="G16" s="15">
        <v>2600</v>
      </c>
      <c r="H16" s="16">
        <v>2</v>
      </c>
      <c r="I16" s="17">
        <v>0.16250000000000001</v>
      </c>
      <c r="J16" s="11" t="s">
        <v>29</v>
      </c>
    </row>
    <row r="17" spans="1:10" x14ac:dyDescent="0.35">
      <c r="A17" s="11" t="s">
        <v>56</v>
      </c>
      <c r="B17" s="14">
        <v>45689</v>
      </c>
      <c r="C17" s="11" t="s">
        <v>37</v>
      </c>
      <c r="D17" s="11" t="s">
        <v>41</v>
      </c>
      <c r="E17" s="11" t="s">
        <v>42</v>
      </c>
      <c r="F17" s="15">
        <v>2200</v>
      </c>
      <c r="G17" s="15">
        <v>450</v>
      </c>
      <c r="H17" s="16">
        <v>12</v>
      </c>
      <c r="I17" s="17">
        <v>0.204545454545455</v>
      </c>
      <c r="J17" s="11" t="s">
        <v>57</v>
      </c>
    </row>
    <row r="18" spans="1:10" x14ac:dyDescent="0.35">
      <c r="A18" s="11" t="s">
        <v>58</v>
      </c>
      <c r="B18" s="14">
        <v>45691</v>
      </c>
      <c r="C18" s="11" t="s">
        <v>27</v>
      </c>
      <c r="D18" s="11" t="s">
        <v>12</v>
      </c>
      <c r="E18" s="11" t="s">
        <v>28</v>
      </c>
      <c r="F18" s="15">
        <v>32000</v>
      </c>
      <c r="G18" s="15">
        <v>4800</v>
      </c>
      <c r="H18" s="16">
        <v>3</v>
      </c>
      <c r="I18" s="17">
        <v>0.15</v>
      </c>
      <c r="J18" s="11" t="s">
        <v>57</v>
      </c>
    </row>
    <row r="19" spans="1:10" x14ac:dyDescent="0.35">
      <c r="A19" s="11" t="s">
        <v>59</v>
      </c>
      <c r="B19" s="14">
        <v>45693</v>
      </c>
      <c r="C19" s="11" t="s">
        <v>31</v>
      </c>
      <c r="D19" s="11" t="s">
        <v>38</v>
      </c>
      <c r="E19" s="11" t="s">
        <v>35</v>
      </c>
      <c r="F19" s="15">
        <v>12500</v>
      </c>
      <c r="G19" s="15">
        <v>1900</v>
      </c>
      <c r="H19" s="16">
        <v>2</v>
      </c>
      <c r="I19" s="17">
        <v>0.152</v>
      </c>
      <c r="J19" s="11" t="s">
        <v>57</v>
      </c>
    </row>
    <row r="20" spans="1:10" x14ac:dyDescent="0.35">
      <c r="A20" s="11" t="s">
        <v>60</v>
      </c>
      <c r="B20" s="14">
        <v>45694</v>
      </c>
      <c r="C20" s="11" t="s">
        <v>33</v>
      </c>
      <c r="D20" s="11" t="s">
        <v>13</v>
      </c>
      <c r="E20" s="11" t="s">
        <v>28</v>
      </c>
      <c r="F20" s="15">
        <v>17500</v>
      </c>
      <c r="G20" s="15">
        <v>2700</v>
      </c>
      <c r="H20" s="16">
        <v>2</v>
      </c>
      <c r="I20" s="17">
        <v>0.154285714285714</v>
      </c>
      <c r="J20" s="11" t="s">
        <v>57</v>
      </c>
    </row>
    <row r="21" spans="1:10" x14ac:dyDescent="0.35">
      <c r="A21" s="11" t="s">
        <v>61</v>
      </c>
      <c r="B21" s="14">
        <v>45696</v>
      </c>
      <c r="C21" s="11" t="s">
        <v>37</v>
      </c>
      <c r="D21" s="11" t="s">
        <v>15</v>
      </c>
      <c r="E21" s="11" t="s">
        <v>35</v>
      </c>
      <c r="F21" s="15">
        <v>14500</v>
      </c>
      <c r="G21" s="15">
        <v>2200</v>
      </c>
      <c r="H21" s="16">
        <v>1</v>
      </c>
      <c r="I21" s="17">
        <v>0.15172413793103501</v>
      </c>
      <c r="J21" s="11" t="s">
        <v>57</v>
      </c>
    </row>
    <row r="22" spans="1:10" x14ac:dyDescent="0.35">
      <c r="A22" s="11" t="s">
        <v>62</v>
      </c>
      <c r="B22" s="14">
        <v>45698</v>
      </c>
      <c r="C22" s="11" t="s">
        <v>27</v>
      </c>
      <c r="D22" s="11" t="s">
        <v>44</v>
      </c>
      <c r="E22" s="11" t="s">
        <v>42</v>
      </c>
      <c r="F22" s="15">
        <v>1500</v>
      </c>
      <c r="G22" s="15">
        <v>300</v>
      </c>
      <c r="H22" s="16">
        <v>20</v>
      </c>
      <c r="I22" s="17">
        <v>0.2</v>
      </c>
      <c r="J22" s="11" t="s">
        <v>57</v>
      </c>
    </row>
    <row r="23" spans="1:10" x14ac:dyDescent="0.35">
      <c r="A23" s="11" t="s">
        <v>63</v>
      </c>
      <c r="B23" s="14">
        <v>45700</v>
      </c>
      <c r="C23" s="11" t="s">
        <v>31</v>
      </c>
      <c r="D23" s="11" t="s">
        <v>48</v>
      </c>
      <c r="E23" s="11" t="s">
        <v>28</v>
      </c>
      <c r="F23" s="15">
        <v>3200</v>
      </c>
      <c r="G23" s="15">
        <v>550</v>
      </c>
      <c r="H23" s="16">
        <v>6</v>
      </c>
      <c r="I23" s="17">
        <v>0.171875</v>
      </c>
      <c r="J23" s="11" t="s">
        <v>57</v>
      </c>
    </row>
    <row r="24" spans="1:10" x14ac:dyDescent="0.35">
      <c r="A24" s="11" t="s">
        <v>64</v>
      </c>
      <c r="B24" s="14">
        <v>45702</v>
      </c>
      <c r="C24" s="11" t="s">
        <v>33</v>
      </c>
      <c r="D24" s="11" t="s">
        <v>50</v>
      </c>
      <c r="E24" s="11" t="s">
        <v>28</v>
      </c>
      <c r="F24" s="15">
        <v>4800</v>
      </c>
      <c r="G24" s="15">
        <v>750</v>
      </c>
      <c r="H24" s="16">
        <v>4</v>
      </c>
      <c r="I24" s="17">
        <v>0.15625</v>
      </c>
      <c r="J24" s="11" t="s">
        <v>57</v>
      </c>
    </row>
    <row r="25" spans="1:10" x14ac:dyDescent="0.35">
      <c r="A25" s="11" t="s">
        <v>65</v>
      </c>
      <c r="B25" s="14">
        <v>45704</v>
      </c>
      <c r="C25" s="11" t="s">
        <v>37</v>
      </c>
      <c r="D25" s="11" t="s">
        <v>52</v>
      </c>
      <c r="E25" s="11" t="s">
        <v>35</v>
      </c>
      <c r="F25" s="15">
        <v>10500</v>
      </c>
      <c r="G25" s="15">
        <v>1700</v>
      </c>
      <c r="H25" s="16">
        <v>2</v>
      </c>
      <c r="I25" s="17">
        <v>0.161904761904762</v>
      </c>
      <c r="J25" s="11" t="s">
        <v>57</v>
      </c>
    </row>
    <row r="26" spans="1:10" x14ac:dyDescent="0.35">
      <c r="A26" s="11" t="s">
        <v>66</v>
      </c>
      <c r="B26" s="14">
        <v>45706</v>
      </c>
      <c r="C26" s="11" t="s">
        <v>27</v>
      </c>
      <c r="D26" s="11" t="s">
        <v>11</v>
      </c>
      <c r="E26" s="11" t="s">
        <v>28</v>
      </c>
      <c r="F26" s="15">
        <v>60000</v>
      </c>
      <c r="G26" s="15">
        <v>9000</v>
      </c>
      <c r="H26" s="16">
        <v>2</v>
      </c>
      <c r="I26" s="17">
        <v>0.15</v>
      </c>
      <c r="J26" s="11" t="s">
        <v>57</v>
      </c>
    </row>
    <row r="27" spans="1:10" x14ac:dyDescent="0.35">
      <c r="A27" s="11" t="s">
        <v>67</v>
      </c>
      <c r="B27" s="14">
        <v>45708</v>
      </c>
      <c r="C27" s="11" t="s">
        <v>31</v>
      </c>
      <c r="D27" s="11" t="s">
        <v>34</v>
      </c>
      <c r="E27" s="11" t="s">
        <v>35</v>
      </c>
      <c r="F27" s="15">
        <v>8200</v>
      </c>
      <c r="G27" s="15">
        <v>1300</v>
      </c>
      <c r="H27" s="16">
        <v>4</v>
      </c>
      <c r="I27" s="17">
        <v>0.15853658536585399</v>
      </c>
      <c r="J27" s="11" t="s">
        <v>57</v>
      </c>
    </row>
    <row r="28" spans="1:10" x14ac:dyDescent="0.35">
      <c r="A28" s="11" t="s">
        <v>68</v>
      </c>
      <c r="B28" s="14">
        <v>45710</v>
      </c>
      <c r="C28" s="11" t="s">
        <v>33</v>
      </c>
      <c r="D28" s="11" t="s">
        <v>14</v>
      </c>
      <c r="E28" s="11" t="s">
        <v>28</v>
      </c>
      <c r="F28" s="15">
        <v>15500</v>
      </c>
      <c r="G28" s="15">
        <v>2400</v>
      </c>
      <c r="H28" s="16">
        <v>2</v>
      </c>
      <c r="I28" s="17">
        <v>0.154838709677419</v>
      </c>
      <c r="J28" s="11" t="s">
        <v>57</v>
      </c>
    </row>
    <row r="29" spans="1:10" x14ac:dyDescent="0.35">
      <c r="A29" s="11" t="s">
        <v>69</v>
      </c>
      <c r="B29" s="14">
        <v>45712</v>
      </c>
      <c r="C29" s="11" t="s">
        <v>37</v>
      </c>
      <c r="D29" s="11" t="s">
        <v>41</v>
      </c>
      <c r="E29" s="11" t="s">
        <v>42</v>
      </c>
      <c r="F29" s="15">
        <v>2400</v>
      </c>
      <c r="G29" s="15">
        <v>500</v>
      </c>
      <c r="H29" s="16">
        <v>14</v>
      </c>
      <c r="I29" s="17">
        <v>0.20833333333333301</v>
      </c>
      <c r="J29" s="11" t="s">
        <v>57</v>
      </c>
    </row>
    <row r="30" spans="1:10" x14ac:dyDescent="0.35">
      <c r="A30" s="11" t="s">
        <v>70</v>
      </c>
      <c r="B30" s="14">
        <v>45714</v>
      </c>
      <c r="C30" s="11" t="s">
        <v>27</v>
      </c>
      <c r="D30" s="11" t="s">
        <v>12</v>
      </c>
      <c r="E30" s="11" t="s">
        <v>28</v>
      </c>
      <c r="F30" s="15">
        <v>31000</v>
      </c>
      <c r="G30" s="15">
        <v>4600</v>
      </c>
      <c r="H30" s="16">
        <v>3</v>
      </c>
      <c r="I30" s="17">
        <v>0.14838709677419401</v>
      </c>
      <c r="J30" s="11" t="s">
        <v>57</v>
      </c>
    </row>
    <row r="31" spans="1:10" x14ac:dyDescent="0.35">
      <c r="A31" s="11" t="s">
        <v>71</v>
      </c>
      <c r="B31" s="14">
        <v>45716</v>
      </c>
      <c r="C31" s="11" t="s">
        <v>31</v>
      </c>
      <c r="D31" s="11" t="s">
        <v>38</v>
      </c>
      <c r="E31" s="11" t="s">
        <v>35</v>
      </c>
      <c r="F31" s="15">
        <v>13000</v>
      </c>
      <c r="G31" s="15">
        <v>2000</v>
      </c>
      <c r="H31" s="16">
        <v>2</v>
      </c>
      <c r="I31" s="17">
        <v>0.15384615384615399</v>
      </c>
      <c r="J31" s="11" t="s">
        <v>57</v>
      </c>
    </row>
    <row r="32" spans="1:10" x14ac:dyDescent="0.35">
      <c r="A32" s="11" t="s">
        <v>72</v>
      </c>
      <c r="B32" s="14">
        <v>45718</v>
      </c>
      <c r="C32" s="11" t="s">
        <v>33</v>
      </c>
      <c r="D32" s="11" t="s">
        <v>13</v>
      </c>
      <c r="E32" s="11" t="s">
        <v>28</v>
      </c>
      <c r="F32" s="15">
        <v>18500</v>
      </c>
      <c r="G32" s="15">
        <v>2900</v>
      </c>
      <c r="H32" s="16">
        <v>2</v>
      </c>
      <c r="I32" s="17">
        <v>0.15675675675675699</v>
      </c>
      <c r="J32" s="11" t="s">
        <v>73</v>
      </c>
    </row>
    <row r="33" spans="1:10" x14ac:dyDescent="0.35">
      <c r="A33" s="11" t="s">
        <v>74</v>
      </c>
      <c r="B33" s="14">
        <v>45720</v>
      </c>
      <c r="C33" s="11" t="s">
        <v>37</v>
      </c>
      <c r="D33" s="11" t="s">
        <v>15</v>
      </c>
      <c r="E33" s="11" t="s">
        <v>35</v>
      </c>
      <c r="F33" s="15">
        <v>15000</v>
      </c>
      <c r="G33" s="15">
        <v>2300</v>
      </c>
      <c r="H33" s="16">
        <v>1</v>
      </c>
      <c r="I33" s="17">
        <v>0.15333333333333299</v>
      </c>
      <c r="J33" s="11" t="s">
        <v>73</v>
      </c>
    </row>
    <row r="34" spans="1:10" x14ac:dyDescent="0.35">
      <c r="A34" s="11" t="s">
        <v>75</v>
      </c>
      <c r="B34" s="14">
        <v>45722</v>
      </c>
      <c r="C34" s="11" t="s">
        <v>27</v>
      </c>
      <c r="D34" s="11" t="s">
        <v>44</v>
      </c>
      <c r="E34" s="11" t="s">
        <v>42</v>
      </c>
      <c r="F34" s="15">
        <v>1600</v>
      </c>
      <c r="G34" s="15">
        <v>320</v>
      </c>
      <c r="H34" s="16">
        <v>18</v>
      </c>
      <c r="I34" s="17">
        <v>0.2</v>
      </c>
      <c r="J34" s="11" t="s">
        <v>73</v>
      </c>
    </row>
    <row r="35" spans="1:10" x14ac:dyDescent="0.35">
      <c r="A35" s="11" t="s">
        <v>76</v>
      </c>
      <c r="B35" s="14">
        <v>45724</v>
      </c>
      <c r="C35" s="11" t="s">
        <v>31</v>
      </c>
      <c r="D35" s="11" t="s">
        <v>48</v>
      </c>
      <c r="E35" s="11" t="s">
        <v>28</v>
      </c>
      <c r="F35" s="15">
        <v>3500</v>
      </c>
      <c r="G35" s="15">
        <v>600</v>
      </c>
      <c r="H35" s="16">
        <v>7</v>
      </c>
      <c r="I35" s="17">
        <v>0.17142857142857101</v>
      </c>
      <c r="J35" s="11" t="s">
        <v>73</v>
      </c>
    </row>
    <row r="36" spans="1:10" x14ac:dyDescent="0.35">
      <c r="A36" s="11" t="s">
        <v>77</v>
      </c>
      <c r="B36" s="14">
        <v>45726</v>
      </c>
      <c r="C36" s="11" t="s">
        <v>33</v>
      </c>
      <c r="D36" s="11" t="s">
        <v>50</v>
      </c>
      <c r="E36" s="11" t="s">
        <v>28</v>
      </c>
      <c r="F36" s="15">
        <v>5000</v>
      </c>
      <c r="G36" s="15">
        <v>800</v>
      </c>
      <c r="H36" s="16">
        <v>5</v>
      </c>
      <c r="I36" s="17">
        <v>0.16</v>
      </c>
      <c r="J36" s="11" t="s">
        <v>73</v>
      </c>
    </row>
    <row r="37" spans="1:10" x14ac:dyDescent="0.35">
      <c r="A37" s="11" t="s">
        <v>78</v>
      </c>
      <c r="B37" s="14">
        <v>45728</v>
      </c>
      <c r="C37" s="11" t="s">
        <v>37</v>
      </c>
      <c r="D37" s="11" t="s">
        <v>52</v>
      </c>
      <c r="E37" s="11" t="s">
        <v>35</v>
      </c>
      <c r="F37" s="15">
        <v>11000</v>
      </c>
      <c r="G37" s="15">
        <v>1800</v>
      </c>
      <c r="H37" s="16">
        <v>2</v>
      </c>
      <c r="I37" s="17">
        <v>0.163636363636364</v>
      </c>
      <c r="J37" s="11" t="s">
        <v>73</v>
      </c>
    </row>
    <row r="38" spans="1:10" x14ac:dyDescent="0.35">
      <c r="A38" s="11" t="s">
        <v>79</v>
      </c>
      <c r="B38" s="14">
        <v>45730</v>
      </c>
      <c r="C38" s="11" t="s">
        <v>27</v>
      </c>
      <c r="D38" s="11" t="s">
        <v>11</v>
      </c>
      <c r="E38" s="11" t="s">
        <v>28</v>
      </c>
      <c r="F38" s="15">
        <v>62000</v>
      </c>
      <c r="G38" s="15">
        <v>9500</v>
      </c>
      <c r="H38" s="16">
        <v>2</v>
      </c>
      <c r="I38" s="17">
        <v>0.15322580645161299</v>
      </c>
      <c r="J38" s="11" t="s">
        <v>73</v>
      </c>
    </row>
    <row r="39" spans="1:10" x14ac:dyDescent="0.35">
      <c r="A39" s="11" t="s">
        <v>80</v>
      </c>
      <c r="B39" s="14">
        <v>45732</v>
      </c>
      <c r="C39" s="11" t="s">
        <v>31</v>
      </c>
      <c r="D39" s="11" t="s">
        <v>34</v>
      </c>
      <c r="E39" s="11" t="s">
        <v>35</v>
      </c>
      <c r="F39" s="15">
        <v>8500</v>
      </c>
      <c r="G39" s="15">
        <v>1350</v>
      </c>
      <c r="H39" s="16">
        <v>4</v>
      </c>
      <c r="I39" s="17">
        <v>0.158823529411765</v>
      </c>
      <c r="J39" s="11" t="s">
        <v>73</v>
      </c>
    </row>
    <row r="40" spans="1:10" x14ac:dyDescent="0.35">
      <c r="A40" s="11" t="s">
        <v>81</v>
      </c>
      <c r="B40" s="14">
        <v>45734</v>
      </c>
      <c r="C40" s="11" t="s">
        <v>33</v>
      </c>
      <c r="D40" s="11" t="s">
        <v>14</v>
      </c>
      <c r="E40" s="11" t="s">
        <v>28</v>
      </c>
      <c r="F40" s="15">
        <v>16500</v>
      </c>
      <c r="G40" s="15">
        <v>2700</v>
      </c>
      <c r="H40" s="16">
        <v>2</v>
      </c>
      <c r="I40" s="17">
        <v>0.163636363636364</v>
      </c>
      <c r="J40" s="11" t="s">
        <v>73</v>
      </c>
    </row>
    <row r="41" spans="1:10" x14ac:dyDescent="0.35">
      <c r="A41" s="11" t="s">
        <v>82</v>
      </c>
      <c r="B41" s="14">
        <v>45736</v>
      </c>
      <c r="C41" s="11" t="s">
        <v>37</v>
      </c>
      <c r="D41" s="11" t="s">
        <v>41</v>
      </c>
      <c r="E41" s="11" t="s">
        <v>42</v>
      </c>
      <c r="F41" s="15">
        <v>2500</v>
      </c>
      <c r="G41" s="15">
        <v>520</v>
      </c>
      <c r="H41" s="16">
        <v>15</v>
      </c>
      <c r="I41" s="17">
        <v>0.20799999999999999</v>
      </c>
      <c r="J41" s="11" t="s">
        <v>73</v>
      </c>
    </row>
    <row r="42" spans="1:10" x14ac:dyDescent="0.35">
      <c r="A42" s="11" t="s">
        <v>83</v>
      </c>
      <c r="B42" s="14">
        <v>45738</v>
      </c>
      <c r="C42" s="11" t="s">
        <v>27</v>
      </c>
      <c r="D42" s="11" t="s">
        <v>12</v>
      </c>
      <c r="E42" s="11" t="s">
        <v>28</v>
      </c>
      <c r="F42" s="15">
        <v>34000</v>
      </c>
      <c r="G42" s="15">
        <v>5000</v>
      </c>
      <c r="H42" s="16">
        <v>3</v>
      </c>
      <c r="I42" s="17">
        <v>0.14705882352941199</v>
      </c>
      <c r="J42" s="11" t="s">
        <v>73</v>
      </c>
    </row>
    <row r="43" spans="1:10" x14ac:dyDescent="0.35">
      <c r="A43" s="11" t="s">
        <v>84</v>
      </c>
      <c r="B43" s="14">
        <v>45740</v>
      </c>
      <c r="C43" s="11" t="s">
        <v>31</v>
      </c>
      <c r="D43" s="11" t="s">
        <v>38</v>
      </c>
      <c r="E43" s="11" t="s">
        <v>35</v>
      </c>
      <c r="F43" s="15">
        <v>13500</v>
      </c>
      <c r="G43" s="15">
        <v>2100</v>
      </c>
      <c r="H43" s="16">
        <v>2</v>
      </c>
      <c r="I43" s="17">
        <v>0.155555555555556</v>
      </c>
      <c r="J43" s="11" t="s">
        <v>73</v>
      </c>
    </row>
    <row r="44" spans="1:10" x14ac:dyDescent="0.35">
      <c r="A44" s="11" t="s">
        <v>85</v>
      </c>
      <c r="B44" s="14">
        <v>45742</v>
      </c>
      <c r="C44" s="11" t="s">
        <v>33</v>
      </c>
      <c r="D44" s="11" t="s">
        <v>13</v>
      </c>
      <c r="E44" s="11" t="s">
        <v>28</v>
      </c>
      <c r="F44" s="15">
        <v>19000</v>
      </c>
      <c r="G44" s="15">
        <v>3000</v>
      </c>
      <c r="H44" s="16">
        <v>2</v>
      </c>
      <c r="I44" s="17">
        <v>0.157894736842105</v>
      </c>
      <c r="J44" s="11" t="s">
        <v>73</v>
      </c>
    </row>
    <row r="45" spans="1:10" x14ac:dyDescent="0.35">
      <c r="A45" s="11" t="s">
        <v>86</v>
      </c>
      <c r="B45" s="14">
        <v>45744</v>
      </c>
      <c r="C45" s="11" t="s">
        <v>37</v>
      </c>
      <c r="D45" s="11" t="s">
        <v>15</v>
      </c>
      <c r="E45" s="11" t="s">
        <v>35</v>
      </c>
      <c r="F45" s="15">
        <v>15500</v>
      </c>
      <c r="G45" s="15">
        <v>2400</v>
      </c>
      <c r="H45" s="16">
        <v>1</v>
      </c>
      <c r="I45" s="17">
        <v>0.154838709677419</v>
      </c>
      <c r="J45" s="11" t="s">
        <v>73</v>
      </c>
    </row>
    <row r="46" spans="1:10" x14ac:dyDescent="0.35">
      <c r="A46" s="11" t="s">
        <v>87</v>
      </c>
      <c r="B46" s="14">
        <v>45746</v>
      </c>
      <c r="C46" s="11" t="s">
        <v>27</v>
      </c>
      <c r="D46" s="11" t="s">
        <v>44</v>
      </c>
      <c r="E46" s="11" t="s">
        <v>42</v>
      </c>
      <c r="F46" s="15">
        <v>1700</v>
      </c>
      <c r="G46" s="15">
        <v>340</v>
      </c>
      <c r="H46" s="16">
        <v>20</v>
      </c>
      <c r="I46" s="17">
        <v>0.2</v>
      </c>
      <c r="J46" s="11" t="s">
        <v>73</v>
      </c>
    </row>
    <row r="47" spans="1:10" x14ac:dyDescent="0.35">
      <c r="A47" s="11" t="s">
        <v>88</v>
      </c>
      <c r="B47" s="14">
        <v>45749</v>
      </c>
      <c r="C47" s="11" t="s">
        <v>31</v>
      </c>
      <c r="D47" s="11" t="s">
        <v>48</v>
      </c>
      <c r="E47" s="11" t="s">
        <v>28</v>
      </c>
      <c r="F47" s="15">
        <v>3600</v>
      </c>
      <c r="G47" s="15">
        <v>620</v>
      </c>
      <c r="H47" s="16">
        <v>7</v>
      </c>
      <c r="I47" s="17">
        <v>0.172222222222222</v>
      </c>
      <c r="J47" s="11" t="s">
        <v>89</v>
      </c>
    </row>
    <row r="48" spans="1:10" x14ac:dyDescent="0.35">
      <c r="A48" s="11" t="s">
        <v>90</v>
      </c>
      <c r="B48" s="14">
        <v>45751</v>
      </c>
      <c r="C48" s="11" t="s">
        <v>33</v>
      </c>
      <c r="D48" s="11" t="s">
        <v>50</v>
      </c>
      <c r="E48" s="11" t="s">
        <v>28</v>
      </c>
      <c r="F48" s="15">
        <v>5200</v>
      </c>
      <c r="G48" s="15">
        <v>850</v>
      </c>
      <c r="H48" s="16">
        <v>5</v>
      </c>
      <c r="I48" s="17">
        <v>0.16346153846153899</v>
      </c>
      <c r="J48" s="11" t="s">
        <v>89</v>
      </c>
    </row>
    <row r="49" spans="1:10" x14ac:dyDescent="0.35">
      <c r="A49" s="11" t="s">
        <v>91</v>
      </c>
      <c r="B49" s="14">
        <v>45753</v>
      </c>
      <c r="C49" s="11" t="s">
        <v>37</v>
      </c>
      <c r="D49" s="11" t="s">
        <v>52</v>
      </c>
      <c r="E49" s="11" t="s">
        <v>35</v>
      </c>
      <c r="F49" s="15">
        <v>11500</v>
      </c>
      <c r="G49" s="15">
        <v>1900</v>
      </c>
      <c r="H49" s="16">
        <v>2</v>
      </c>
      <c r="I49" s="17">
        <v>0.16521739130434801</v>
      </c>
      <c r="J49" s="11" t="s">
        <v>89</v>
      </c>
    </row>
    <row r="50" spans="1:10" x14ac:dyDescent="0.35">
      <c r="A50" s="11" t="s">
        <v>92</v>
      </c>
      <c r="B50" s="14">
        <v>45755</v>
      </c>
      <c r="C50" s="11" t="s">
        <v>27</v>
      </c>
      <c r="D50" s="11" t="s">
        <v>11</v>
      </c>
      <c r="E50" s="11" t="s">
        <v>28</v>
      </c>
      <c r="F50" s="15">
        <v>64000</v>
      </c>
      <c r="G50" s="15">
        <v>9800</v>
      </c>
      <c r="H50" s="16">
        <v>2</v>
      </c>
      <c r="I50" s="17">
        <v>0.15312500000000001</v>
      </c>
      <c r="J50" s="11" t="s">
        <v>89</v>
      </c>
    </row>
    <row r="51" spans="1:10" x14ac:dyDescent="0.35">
      <c r="A51" s="11" t="s">
        <v>93</v>
      </c>
      <c r="B51" s="14">
        <v>45757</v>
      </c>
      <c r="C51" s="11" t="s">
        <v>31</v>
      </c>
      <c r="D51" s="11" t="s">
        <v>34</v>
      </c>
      <c r="E51" s="11" t="s">
        <v>35</v>
      </c>
      <c r="F51" s="15">
        <v>8800</v>
      </c>
      <c r="G51" s="15">
        <v>1400</v>
      </c>
      <c r="H51" s="16">
        <v>4</v>
      </c>
      <c r="I51" s="17">
        <v>0.15909090909090901</v>
      </c>
      <c r="J51" s="11" t="s">
        <v>89</v>
      </c>
    </row>
    <row r="52" spans="1:10" x14ac:dyDescent="0.35">
      <c r="A52" s="11" t="s">
        <v>94</v>
      </c>
      <c r="B52" s="14">
        <v>45759</v>
      </c>
      <c r="C52" s="11" t="s">
        <v>33</v>
      </c>
      <c r="D52" s="11" t="s">
        <v>14</v>
      </c>
      <c r="E52" s="11" t="s">
        <v>28</v>
      </c>
      <c r="F52" s="15">
        <v>17000</v>
      </c>
      <c r="G52" s="15">
        <v>2800</v>
      </c>
      <c r="H52" s="16">
        <v>2</v>
      </c>
      <c r="I52" s="17">
        <v>0.16470588235294101</v>
      </c>
      <c r="J52" s="11" t="s">
        <v>89</v>
      </c>
    </row>
    <row r="53" spans="1:10" x14ac:dyDescent="0.35">
      <c r="A53" s="11" t="s">
        <v>95</v>
      </c>
      <c r="B53" s="14">
        <v>45761</v>
      </c>
      <c r="C53" s="11" t="s">
        <v>37</v>
      </c>
      <c r="D53" s="11" t="s">
        <v>41</v>
      </c>
      <c r="E53" s="11" t="s">
        <v>42</v>
      </c>
      <c r="F53" s="15">
        <v>2600</v>
      </c>
      <c r="G53" s="15">
        <v>540</v>
      </c>
      <c r="H53" s="16">
        <v>16</v>
      </c>
      <c r="I53" s="17">
        <v>0.20769230769230801</v>
      </c>
      <c r="J53" s="11" t="s">
        <v>89</v>
      </c>
    </row>
    <row r="54" spans="1:10" x14ac:dyDescent="0.35">
      <c r="A54" s="11" t="s">
        <v>96</v>
      </c>
      <c r="B54" s="14">
        <v>45763</v>
      </c>
      <c r="C54" s="11" t="s">
        <v>27</v>
      </c>
      <c r="D54" s="11" t="s">
        <v>12</v>
      </c>
      <c r="E54" s="11" t="s">
        <v>28</v>
      </c>
      <c r="F54" s="15">
        <v>35000</v>
      </c>
      <c r="G54" s="15">
        <v>5200</v>
      </c>
      <c r="H54" s="16">
        <v>3</v>
      </c>
      <c r="I54" s="17">
        <v>0.14857142857142899</v>
      </c>
      <c r="J54" s="11" t="s">
        <v>89</v>
      </c>
    </row>
    <row r="55" spans="1:10" x14ac:dyDescent="0.35">
      <c r="A55" s="11" t="s">
        <v>97</v>
      </c>
      <c r="B55" s="14">
        <v>45765</v>
      </c>
      <c r="C55" s="11" t="s">
        <v>31</v>
      </c>
      <c r="D55" s="11" t="s">
        <v>38</v>
      </c>
      <c r="E55" s="11" t="s">
        <v>35</v>
      </c>
      <c r="F55" s="15">
        <v>14000</v>
      </c>
      <c r="G55" s="15">
        <v>2200</v>
      </c>
      <c r="H55" s="16">
        <v>2</v>
      </c>
      <c r="I55" s="17">
        <v>0.157142857142857</v>
      </c>
      <c r="J55" s="11" t="s">
        <v>89</v>
      </c>
    </row>
    <row r="56" spans="1:10" x14ac:dyDescent="0.35">
      <c r="A56" s="11" t="s">
        <v>98</v>
      </c>
      <c r="B56" s="14">
        <v>45767</v>
      </c>
      <c r="C56" s="11" t="s">
        <v>33</v>
      </c>
      <c r="D56" s="11" t="s">
        <v>13</v>
      </c>
      <c r="E56" s="11" t="s">
        <v>28</v>
      </c>
      <c r="F56" s="15">
        <v>19500</v>
      </c>
      <c r="G56" s="15">
        <v>3100</v>
      </c>
      <c r="H56" s="16">
        <v>2</v>
      </c>
      <c r="I56" s="17">
        <v>0.15897435897435899</v>
      </c>
      <c r="J56" s="11" t="s">
        <v>89</v>
      </c>
    </row>
    <row r="57" spans="1:10" x14ac:dyDescent="0.35">
      <c r="A57" s="11" t="s">
        <v>99</v>
      </c>
      <c r="B57" s="14">
        <v>45769</v>
      </c>
      <c r="C57" s="11" t="s">
        <v>37</v>
      </c>
      <c r="D57" s="11" t="s">
        <v>15</v>
      </c>
      <c r="E57" s="11" t="s">
        <v>35</v>
      </c>
      <c r="F57" s="15">
        <v>16000</v>
      </c>
      <c r="G57" s="15">
        <v>2500</v>
      </c>
      <c r="H57" s="16">
        <v>1</v>
      </c>
      <c r="I57" s="17">
        <v>0.15625</v>
      </c>
      <c r="J57" s="11" t="s">
        <v>89</v>
      </c>
    </row>
    <row r="58" spans="1:10" x14ac:dyDescent="0.35">
      <c r="A58" s="11" t="s">
        <v>100</v>
      </c>
      <c r="B58" s="14">
        <v>45771</v>
      </c>
      <c r="C58" s="11" t="s">
        <v>27</v>
      </c>
      <c r="D58" s="11" t="s">
        <v>44</v>
      </c>
      <c r="E58" s="11" t="s">
        <v>42</v>
      </c>
      <c r="F58" s="15">
        <v>1800</v>
      </c>
      <c r="G58" s="15">
        <v>360</v>
      </c>
      <c r="H58" s="16">
        <v>22</v>
      </c>
      <c r="I58" s="17">
        <v>0.2</v>
      </c>
      <c r="J58" s="11" t="s">
        <v>89</v>
      </c>
    </row>
    <row r="59" spans="1:10" x14ac:dyDescent="0.35">
      <c r="A59" s="11" t="s">
        <v>101</v>
      </c>
      <c r="B59" s="14">
        <v>45773</v>
      </c>
      <c r="C59" s="11" t="s">
        <v>31</v>
      </c>
      <c r="D59" s="11" t="s">
        <v>48</v>
      </c>
      <c r="E59" s="11" t="s">
        <v>28</v>
      </c>
      <c r="F59" s="15">
        <v>3800</v>
      </c>
      <c r="G59" s="15">
        <v>650</v>
      </c>
      <c r="H59" s="16">
        <v>8</v>
      </c>
      <c r="I59" s="17">
        <v>0.17105263157894701</v>
      </c>
      <c r="J59" s="11" t="s">
        <v>89</v>
      </c>
    </row>
    <row r="60" spans="1:10" x14ac:dyDescent="0.35">
      <c r="A60" s="11" t="s">
        <v>102</v>
      </c>
      <c r="B60" s="14">
        <v>45775</v>
      </c>
      <c r="C60" s="11" t="s">
        <v>33</v>
      </c>
      <c r="D60" s="11" t="s">
        <v>50</v>
      </c>
      <c r="E60" s="11" t="s">
        <v>28</v>
      </c>
      <c r="F60" s="15">
        <v>5400</v>
      </c>
      <c r="G60" s="15">
        <v>900</v>
      </c>
      <c r="H60" s="16">
        <v>5</v>
      </c>
      <c r="I60" s="17">
        <v>0.16666666666666699</v>
      </c>
      <c r="J60" s="11" t="s">
        <v>89</v>
      </c>
    </row>
    <row r="61" spans="1:10" x14ac:dyDescent="0.35">
      <c r="A61" s="11" t="s">
        <v>103</v>
      </c>
      <c r="B61" s="14">
        <v>45777</v>
      </c>
      <c r="C61" s="11" t="s">
        <v>37</v>
      </c>
      <c r="D61" s="11" t="s">
        <v>52</v>
      </c>
      <c r="E61" s="11" t="s">
        <v>35</v>
      </c>
      <c r="F61" s="15">
        <v>12000</v>
      </c>
      <c r="G61" s="15">
        <v>2000</v>
      </c>
      <c r="H61" s="16">
        <v>2</v>
      </c>
      <c r="I61" s="17">
        <v>0.16666666666666699</v>
      </c>
      <c r="J61" s="11" t="s">
        <v>89</v>
      </c>
    </row>
    <row r="62" spans="1:10" x14ac:dyDescent="0.35">
      <c r="A62" s="11" t="s">
        <v>104</v>
      </c>
      <c r="B62" s="14">
        <v>45779</v>
      </c>
      <c r="C62" s="11" t="s">
        <v>27</v>
      </c>
      <c r="D62" s="11" t="s">
        <v>11</v>
      </c>
      <c r="E62" s="11" t="s">
        <v>28</v>
      </c>
      <c r="F62" s="15">
        <v>65000</v>
      </c>
      <c r="G62" s="15">
        <v>10000</v>
      </c>
      <c r="H62" s="16">
        <v>2</v>
      </c>
      <c r="I62" s="17">
        <v>0.15384615384615399</v>
      </c>
      <c r="J62" s="11" t="s">
        <v>105</v>
      </c>
    </row>
    <row r="63" spans="1:10" x14ac:dyDescent="0.35">
      <c r="A63" s="11" t="s">
        <v>106</v>
      </c>
      <c r="B63" s="14">
        <v>45781</v>
      </c>
      <c r="C63" s="11" t="s">
        <v>31</v>
      </c>
      <c r="D63" s="11" t="s">
        <v>34</v>
      </c>
      <c r="E63" s="11" t="s">
        <v>35</v>
      </c>
      <c r="F63" s="15">
        <v>9000</v>
      </c>
      <c r="G63" s="15">
        <v>1450</v>
      </c>
      <c r="H63" s="16">
        <v>5</v>
      </c>
      <c r="I63" s="17">
        <v>0.16111111111111101</v>
      </c>
      <c r="J63" s="11" t="s">
        <v>105</v>
      </c>
    </row>
    <row r="64" spans="1:10" x14ac:dyDescent="0.35">
      <c r="A64" s="11" t="s">
        <v>107</v>
      </c>
      <c r="B64" s="14">
        <v>45783</v>
      </c>
      <c r="C64" s="11" t="s">
        <v>33</v>
      </c>
      <c r="D64" s="11" t="s">
        <v>14</v>
      </c>
      <c r="E64" s="11" t="s">
        <v>28</v>
      </c>
      <c r="F64" s="15">
        <v>17500</v>
      </c>
      <c r="G64" s="15">
        <v>2900</v>
      </c>
      <c r="H64" s="16">
        <v>2</v>
      </c>
      <c r="I64" s="17">
        <v>0.16571428571428601</v>
      </c>
      <c r="J64" s="11" t="s">
        <v>105</v>
      </c>
    </row>
    <row r="65" spans="1:10" x14ac:dyDescent="0.35">
      <c r="A65" s="11" t="s">
        <v>108</v>
      </c>
      <c r="B65" s="14">
        <v>45785</v>
      </c>
      <c r="C65" s="11" t="s">
        <v>37</v>
      </c>
      <c r="D65" s="11" t="s">
        <v>41</v>
      </c>
      <c r="E65" s="11" t="s">
        <v>42</v>
      </c>
      <c r="F65" s="15">
        <v>2700</v>
      </c>
      <c r="G65" s="15">
        <v>560</v>
      </c>
      <c r="H65" s="16">
        <v>16</v>
      </c>
      <c r="I65" s="17">
        <v>0.20740740740740701</v>
      </c>
      <c r="J65" s="11" t="s">
        <v>105</v>
      </c>
    </row>
    <row r="66" spans="1:10" x14ac:dyDescent="0.35">
      <c r="A66" s="11" t="s">
        <v>109</v>
      </c>
      <c r="B66" s="14">
        <v>45787</v>
      </c>
      <c r="C66" s="11" t="s">
        <v>27</v>
      </c>
      <c r="D66" s="11" t="s">
        <v>12</v>
      </c>
      <c r="E66" s="11" t="s">
        <v>28</v>
      </c>
      <c r="F66" s="15">
        <v>36000</v>
      </c>
      <c r="G66" s="15">
        <v>5400</v>
      </c>
      <c r="H66" s="16">
        <v>3</v>
      </c>
      <c r="I66" s="17">
        <v>0.15</v>
      </c>
      <c r="J66" s="11" t="s">
        <v>105</v>
      </c>
    </row>
    <row r="67" spans="1:10" x14ac:dyDescent="0.35">
      <c r="A67" s="11" t="s">
        <v>110</v>
      </c>
      <c r="B67" s="14">
        <v>45789</v>
      </c>
      <c r="C67" s="11" t="s">
        <v>31</v>
      </c>
      <c r="D67" s="11" t="s">
        <v>38</v>
      </c>
      <c r="E67" s="11" t="s">
        <v>35</v>
      </c>
      <c r="F67" s="15">
        <v>14500</v>
      </c>
      <c r="G67" s="15">
        <v>2300</v>
      </c>
      <c r="H67" s="16">
        <v>2</v>
      </c>
      <c r="I67" s="17">
        <v>0.15862068965517201</v>
      </c>
      <c r="J67" s="11" t="s">
        <v>105</v>
      </c>
    </row>
    <row r="68" spans="1:10" x14ac:dyDescent="0.35">
      <c r="A68" s="11" t="s">
        <v>111</v>
      </c>
      <c r="B68" s="14">
        <v>45791</v>
      </c>
      <c r="C68" s="11" t="s">
        <v>33</v>
      </c>
      <c r="D68" s="11" t="s">
        <v>13</v>
      </c>
      <c r="E68" s="11" t="s">
        <v>28</v>
      </c>
      <c r="F68" s="15">
        <v>20000</v>
      </c>
      <c r="G68" s="15">
        <v>3200</v>
      </c>
      <c r="H68" s="16">
        <v>2</v>
      </c>
      <c r="I68" s="17">
        <v>0.16</v>
      </c>
      <c r="J68" s="11" t="s">
        <v>105</v>
      </c>
    </row>
    <row r="69" spans="1:10" x14ac:dyDescent="0.35">
      <c r="A69" s="11" t="s">
        <v>112</v>
      </c>
      <c r="B69" s="14">
        <v>45793</v>
      </c>
      <c r="C69" s="11" t="s">
        <v>37</v>
      </c>
      <c r="D69" s="11" t="s">
        <v>15</v>
      </c>
      <c r="E69" s="11" t="s">
        <v>35</v>
      </c>
      <c r="F69" s="15">
        <v>16500</v>
      </c>
      <c r="G69" s="15">
        <v>2600</v>
      </c>
      <c r="H69" s="16">
        <v>1</v>
      </c>
      <c r="I69" s="17">
        <v>0.15757575757575801</v>
      </c>
      <c r="J69" s="11" t="s">
        <v>105</v>
      </c>
    </row>
    <row r="70" spans="1:10" x14ac:dyDescent="0.35">
      <c r="A70" s="11" t="s">
        <v>113</v>
      </c>
      <c r="B70" s="14">
        <v>45795</v>
      </c>
      <c r="C70" s="11" t="s">
        <v>27</v>
      </c>
      <c r="D70" s="11" t="s">
        <v>44</v>
      </c>
      <c r="E70" s="11" t="s">
        <v>42</v>
      </c>
      <c r="F70" s="15">
        <v>1900</v>
      </c>
      <c r="G70" s="15">
        <v>380</v>
      </c>
      <c r="H70" s="16">
        <v>22</v>
      </c>
      <c r="I70" s="17">
        <v>0.2</v>
      </c>
      <c r="J70" s="11" t="s">
        <v>105</v>
      </c>
    </row>
    <row r="71" spans="1:10" x14ac:dyDescent="0.35">
      <c r="A71" s="11" t="s">
        <v>114</v>
      </c>
      <c r="B71" s="14">
        <v>45797</v>
      </c>
      <c r="C71" s="11" t="s">
        <v>31</v>
      </c>
      <c r="D71" s="11" t="s">
        <v>48</v>
      </c>
      <c r="E71" s="11" t="s">
        <v>28</v>
      </c>
      <c r="F71" s="15">
        <v>4000</v>
      </c>
      <c r="G71" s="15">
        <v>700</v>
      </c>
      <c r="H71" s="16">
        <v>8</v>
      </c>
      <c r="I71" s="17">
        <v>0.17499999999999999</v>
      </c>
      <c r="J71" s="11" t="s">
        <v>105</v>
      </c>
    </row>
    <row r="72" spans="1:10" x14ac:dyDescent="0.35">
      <c r="A72" s="11" t="s">
        <v>115</v>
      </c>
      <c r="B72" s="14">
        <v>45799</v>
      </c>
      <c r="C72" s="11" t="s">
        <v>33</v>
      </c>
      <c r="D72" s="11" t="s">
        <v>50</v>
      </c>
      <c r="E72" s="11" t="s">
        <v>28</v>
      </c>
      <c r="F72" s="15">
        <v>5600</v>
      </c>
      <c r="G72" s="15">
        <v>950</v>
      </c>
      <c r="H72" s="16">
        <v>6</v>
      </c>
      <c r="I72" s="17">
        <v>0.16964285714285701</v>
      </c>
      <c r="J72" s="11" t="s">
        <v>105</v>
      </c>
    </row>
    <row r="73" spans="1:10" x14ac:dyDescent="0.35">
      <c r="A73" s="11" t="s">
        <v>116</v>
      </c>
      <c r="B73" s="14">
        <v>45801</v>
      </c>
      <c r="C73" s="11" t="s">
        <v>37</v>
      </c>
      <c r="D73" s="11" t="s">
        <v>52</v>
      </c>
      <c r="E73" s="11" t="s">
        <v>35</v>
      </c>
      <c r="F73" s="15">
        <v>12500</v>
      </c>
      <c r="G73" s="15">
        <v>2100</v>
      </c>
      <c r="H73" s="16">
        <v>2</v>
      </c>
      <c r="I73" s="17">
        <v>0.16800000000000001</v>
      </c>
      <c r="J73" s="11" t="s">
        <v>105</v>
      </c>
    </row>
    <row r="74" spans="1:10" x14ac:dyDescent="0.35">
      <c r="A74" s="11" t="s">
        <v>117</v>
      </c>
      <c r="B74" s="14">
        <v>45803</v>
      </c>
      <c r="C74" s="11" t="s">
        <v>27</v>
      </c>
      <c r="D74" s="11" t="s">
        <v>11</v>
      </c>
      <c r="E74" s="11" t="s">
        <v>28</v>
      </c>
      <c r="F74" s="15">
        <v>67000</v>
      </c>
      <c r="G74" s="15">
        <v>10300</v>
      </c>
      <c r="H74" s="16">
        <v>2</v>
      </c>
      <c r="I74" s="17">
        <v>0.15373134328358201</v>
      </c>
      <c r="J74" s="11" t="s">
        <v>105</v>
      </c>
    </row>
    <row r="75" spans="1:10" x14ac:dyDescent="0.35">
      <c r="A75" s="11" t="s">
        <v>118</v>
      </c>
      <c r="B75" s="14">
        <v>45805</v>
      </c>
      <c r="C75" s="11" t="s">
        <v>31</v>
      </c>
      <c r="D75" s="11" t="s">
        <v>34</v>
      </c>
      <c r="E75" s="11" t="s">
        <v>35</v>
      </c>
      <c r="F75" s="15">
        <v>9200</v>
      </c>
      <c r="G75" s="15">
        <v>1500</v>
      </c>
      <c r="H75" s="16">
        <v>5</v>
      </c>
      <c r="I75" s="17">
        <v>0.16304347826087001</v>
      </c>
      <c r="J75" s="11" t="s">
        <v>105</v>
      </c>
    </row>
    <row r="76" spans="1:10" x14ac:dyDescent="0.35">
      <c r="A76" s="11" t="s">
        <v>119</v>
      </c>
      <c r="B76" s="14">
        <v>45807</v>
      </c>
      <c r="C76" s="11" t="s">
        <v>33</v>
      </c>
      <c r="D76" s="11" t="s">
        <v>14</v>
      </c>
      <c r="E76" s="11" t="s">
        <v>28</v>
      </c>
      <c r="F76" s="15">
        <v>18000</v>
      </c>
      <c r="G76" s="15">
        <v>3000</v>
      </c>
      <c r="H76" s="16">
        <v>2</v>
      </c>
      <c r="I76" s="17">
        <v>0.16666666666666699</v>
      </c>
      <c r="J76" s="11" t="s">
        <v>105</v>
      </c>
    </row>
    <row r="77" spans="1:10" x14ac:dyDescent="0.35">
      <c r="A77" s="11" t="s">
        <v>120</v>
      </c>
      <c r="B77" s="14">
        <v>45809</v>
      </c>
      <c r="C77" s="11" t="s">
        <v>37</v>
      </c>
      <c r="D77" s="11" t="s">
        <v>41</v>
      </c>
      <c r="E77" s="11" t="s">
        <v>42</v>
      </c>
      <c r="F77" s="15">
        <v>2800</v>
      </c>
      <c r="G77" s="15">
        <v>580</v>
      </c>
      <c r="H77" s="16">
        <v>18</v>
      </c>
      <c r="I77" s="17">
        <v>0.20714285714285699</v>
      </c>
      <c r="J77" s="11" t="s">
        <v>121</v>
      </c>
    </row>
    <row r="78" spans="1:10" x14ac:dyDescent="0.35">
      <c r="A78" s="11" t="s">
        <v>122</v>
      </c>
      <c r="B78" s="14">
        <v>45811</v>
      </c>
      <c r="C78" s="11" t="s">
        <v>27</v>
      </c>
      <c r="D78" s="11" t="s">
        <v>12</v>
      </c>
      <c r="E78" s="11" t="s">
        <v>28</v>
      </c>
      <c r="F78" s="15">
        <v>37000</v>
      </c>
      <c r="G78" s="15">
        <v>5600</v>
      </c>
      <c r="H78" s="16">
        <v>3</v>
      </c>
      <c r="I78" s="17">
        <v>0.151351351351351</v>
      </c>
      <c r="J78" s="11" t="s">
        <v>121</v>
      </c>
    </row>
    <row r="79" spans="1:10" x14ac:dyDescent="0.35">
      <c r="A79" s="11" t="s">
        <v>123</v>
      </c>
      <c r="B79" s="14">
        <v>45813</v>
      </c>
      <c r="C79" s="11" t="s">
        <v>31</v>
      </c>
      <c r="D79" s="11" t="s">
        <v>38</v>
      </c>
      <c r="E79" s="11" t="s">
        <v>35</v>
      </c>
      <c r="F79" s="15">
        <v>15000</v>
      </c>
      <c r="G79" s="15">
        <v>2400</v>
      </c>
      <c r="H79" s="16">
        <v>2</v>
      </c>
      <c r="I79" s="17">
        <v>0.16</v>
      </c>
      <c r="J79" s="11" t="s">
        <v>121</v>
      </c>
    </row>
    <row r="80" spans="1:10" x14ac:dyDescent="0.35">
      <c r="A80" s="11" t="s">
        <v>124</v>
      </c>
      <c r="B80" s="14">
        <v>45815</v>
      </c>
      <c r="C80" s="11" t="s">
        <v>33</v>
      </c>
      <c r="D80" s="11" t="s">
        <v>13</v>
      </c>
      <c r="E80" s="11" t="s">
        <v>28</v>
      </c>
      <c r="F80" s="15">
        <v>20500</v>
      </c>
      <c r="G80" s="15">
        <v>3300</v>
      </c>
      <c r="H80" s="16">
        <v>2</v>
      </c>
      <c r="I80" s="17">
        <v>0.16097560975609801</v>
      </c>
      <c r="J80" s="11" t="s">
        <v>121</v>
      </c>
    </row>
    <row r="81" spans="1:10" x14ac:dyDescent="0.35">
      <c r="A81" s="11" t="s">
        <v>125</v>
      </c>
      <c r="B81" s="14">
        <v>45817</v>
      </c>
      <c r="C81" s="11" t="s">
        <v>37</v>
      </c>
      <c r="D81" s="11" t="s">
        <v>15</v>
      </c>
      <c r="E81" s="11" t="s">
        <v>35</v>
      </c>
      <c r="F81" s="15">
        <v>17000</v>
      </c>
      <c r="G81" s="15">
        <v>2700</v>
      </c>
      <c r="H81" s="16">
        <v>1</v>
      </c>
      <c r="I81" s="17">
        <v>0.158823529411765</v>
      </c>
      <c r="J81" s="11" t="s">
        <v>121</v>
      </c>
    </row>
    <row r="82" spans="1:10" x14ac:dyDescent="0.35">
      <c r="A82" s="11" t="s">
        <v>126</v>
      </c>
      <c r="B82" s="14">
        <v>45819</v>
      </c>
      <c r="C82" s="11" t="s">
        <v>27</v>
      </c>
      <c r="D82" s="11" t="s">
        <v>44</v>
      </c>
      <c r="E82" s="11" t="s">
        <v>42</v>
      </c>
      <c r="F82" s="15">
        <v>2000</v>
      </c>
      <c r="G82" s="15">
        <v>400</v>
      </c>
      <c r="H82" s="16">
        <v>25</v>
      </c>
      <c r="I82" s="17">
        <v>0.2</v>
      </c>
      <c r="J82" s="11" t="s">
        <v>121</v>
      </c>
    </row>
    <row r="83" spans="1:10" x14ac:dyDescent="0.35">
      <c r="A83" s="11" t="s">
        <v>127</v>
      </c>
      <c r="B83" s="14">
        <v>45821</v>
      </c>
      <c r="C83" s="11" t="s">
        <v>31</v>
      </c>
      <c r="D83" s="11" t="s">
        <v>48</v>
      </c>
      <c r="E83" s="11" t="s">
        <v>28</v>
      </c>
      <c r="F83" s="15">
        <v>4200</v>
      </c>
      <c r="G83" s="15">
        <v>720</v>
      </c>
      <c r="H83" s="16">
        <v>9</v>
      </c>
      <c r="I83" s="17">
        <v>0.17142857142857101</v>
      </c>
      <c r="J83" s="11" t="s">
        <v>121</v>
      </c>
    </row>
    <row r="84" spans="1:10" x14ac:dyDescent="0.35">
      <c r="A84" s="11" t="s">
        <v>128</v>
      </c>
      <c r="B84" s="14">
        <v>45823</v>
      </c>
      <c r="C84" s="11" t="s">
        <v>33</v>
      </c>
      <c r="D84" s="11" t="s">
        <v>50</v>
      </c>
      <c r="E84" s="11" t="s">
        <v>28</v>
      </c>
      <c r="F84" s="15">
        <v>5800</v>
      </c>
      <c r="G84" s="15">
        <v>1000</v>
      </c>
      <c r="H84" s="16">
        <v>6</v>
      </c>
      <c r="I84" s="17">
        <v>0.17241379310344801</v>
      </c>
      <c r="J84" s="11" t="s">
        <v>121</v>
      </c>
    </row>
    <row r="85" spans="1:10" x14ac:dyDescent="0.35">
      <c r="A85" s="11" t="s">
        <v>129</v>
      </c>
      <c r="B85" s="14">
        <v>45825</v>
      </c>
      <c r="C85" s="11" t="s">
        <v>37</v>
      </c>
      <c r="D85" s="11" t="s">
        <v>52</v>
      </c>
      <c r="E85" s="11" t="s">
        <v>35</v>
      </c>
      <c r="F85" s="15">
        <v>13000</v>
      </c>
      <c r="G85" s="15">
        <v>2200</v>
      </c>
      <c r="H85" s="16">
        <v>2</v>
      </c>
      <c r="I85" s="17">
        <v>0.16923076923076899</v>
      </c>
      <c r="J85" s="11" t="s">
        <v>121</v>
      </c>
    </row>
    <row r="86" spans="1:10" x14ac:dyDescent="0.35">
      <c r="A86" s="11" t="s">
        <v>130</v>
      </c>
      <c r="B86" s="14">
        <v>45827</v>
      </c>
      <c r="C86" s="11" t="s">
        <v>27</v>
      </c>
      <c r="D86" s="11" t="s">
        <v>11</v>
      </c>
      <c r="E86" s="11" t="s">
        <v>28</v>
      </c>
      <c r="F86" s="15">
        <v>69000</v>
      </c>
      <c r="G86" s="15">
        <v>10600</v>
      </c>
      <c r="H86" s="16">
        <v>2</v>
      </c>
      <c r="I86" s="17">
        <v>0.153623188405797</v>
      </c>
      <c r="J86" s="11" t="s">
        <v>121</v>
      </c>
    </row>
    <row r="87" spans="1:10" x14ac:dyDescent="0.35">
      <c r="A87" s="11" t="s">
        <v>131</v>
      </c>
      <c r="B87" s="14">
        <v>45829</v>
      </c>
      <c r="C87" s="11" t="s">
        <v>31</v>
      </c>
      <c r="D87" s="11" t="s">
        <v>34</v>
      </c>
      <c r="E87" s="11" t="s">
        <v>35</v>
      </c>
      <c r="F87" s="15">
        <v>9500</v>
      </c>
      <c r="G87" s="15">
        <v>1550</v>
      </c>
      <c r="H87" s="16">
        <v>5</v>
      </c>
      <c r="I87" s="17">
        <v>0.163157894736842</v>
      </c>
      <c r="J87" s="11" t="s">
        <v>121</v>
      </c>
    </row>
    <row r="88" spans="1:10" x14ac:dyDescent="0.35">
      <c r="A88" s="11" t="s">
        <v>132</v>
      </c>
      <c r="B88" s="14">
        <v>45831</v>
      </c>
      <c r="C88" s="11" t="s">
        <v>33</v>
      </c>
      <c r="D88" s="11" t="s">
        <v>14</v>
      </c>
      <c r="E88" s="11" t="s">
        <v>28</v>
      </c>
      <c r="F88" s="15">
        <v>18500</v>
      </c>
      <c r="G88" s="15">
        <v>3100</v>
      </c>
      <c r="H88" s="16">
        <v>2</v>
      </c>
      <c r="I88" s="17">
        <v>0.16756756756756799</v>
      </c>
      <c r="J88" s="11" t="s">
        <v>121</v>
      </c>
    </row>
    <row r="89" spans="1:10" x14ac:dyDescent="0.35">
      <c r="A89" s="11" t="s">
        <v>133</v>
      </c>
      <c r="B89" s="14">
        <v>45833</v>
      </c>
      <c r="C89" s="11" t="s">
        <v>37</v>
      </c>
      <c r="D89" s="11" t="s">
        <v>41</v>
      </c>
      <c r="E89" s="11" t="s">
        <v>42</v>
      </c>
      <c r="F89" s="15">
        <v>2900</v>
      </c>
      <c r="G89" s="15">
        <v>600</v>
      </c>
      <c r="H89" s="16">
        <v>18</v>
      </c>
      <c r="I89" s="17">
        <v>0.20689655172413801</v>
      </c>
      <c r="J89" s="11" t="s">
        <v>121</v>
      </c>
    </row>
    <row r="90" spans="1:10" x14ac:dyDescent="0.35">
      <c r="A90" s="11" t="s">
        <v>134</v>
      </c>
      <c r="B90" s="14">
        <v>45835</v>
      </c>
      <c r="C90" s="11" t="s">
        <v>27</v>
      </c>
      <c r="D90" s="11" t="s">
        <v>12</v>
      </c>
      <c r="E90" s="11" t="s">
        <v>28</v>
      </c>
      <c r="F90" s="15">
        <v>38000</v>
      </c>
      <c r="G90" s="15">
        <v>5800</v>
      </c>
      <c r="H90" s="16">
        <v>3</v>
      </c>
      <c r="I90" s="17">
        <v>0.15263157894736801</v>
      </c>
      <c r="J90" s="11" t="s">
        <v>121</v>
      </c>
    </row>
    <row r="91" spans="1:10" x14ac:dyDescent="0.35">
      <c r="A91" s="11" t="s">
        <v>135</v>
      </c>
      <c r="B91" s="14">
        <v>45837</v>
      </c>
      <c r="C91" s="11" t="s">
        <v>31</v>
      </c>
      <c r="D91" s="11" t="s">
        <v>38</v>
      </c>
      <c r="E91" s="11" t="s">
        <v>35</v>
      </c>
      <c r="F91" s="15">
        <v>15500</v>
      </c>
      <c r="G91" s="15">
        <v>2500</v>
      </c>
      <c r="H91" s="16">
        <v>2</v>
      </c>
      <c r="I91" s="17">
        <v>0.16129032258064499</v>
      </c>
      <c r="J91" s="11" t="s">
        <v>121</v>
      </c>
    </row>
    <row r="92" spans="1:10" x14ac:dyDescent="0.35">
      <c r="A92" s="11" t="s">
        <v>136</v>
      </c>
      <c r="B92" s="14">
        <v>45839</v>
      </c>
      <c r="C92" s="11" t="s">
        <v>33</v>
      </c>
      <c r="D92" s="11" t="s">
        <v>13</v>
      </c>
      <c r="E92" s="11" t="s">
        <v>28</v>
      </c>
      <c r="F92" s="15">
        <v>21000</v>
      </c>
      <c r="G92" s="15">
        <v>3400</v>
      </c>
      <c r="H92" s="16">
        <v>2</v>
      </c>
      <c r="I92" s="17">
        <v>0.161904761904762</v>
      </c>
      <c r="J92" s="11" t="s">
        <v>137</v>
      </c>
    </row>
    <row r="93" spans="1:10" x14ac:dyDescent="0.35">
      <c r="A93" s="11" t="s">
        <v>138</v>
      </c>
      <c r="B93" s="14">
        <v>45841</v>
      </c>
      <c r="C93" s="11" t="s">
        <v>37</v>
      </c>
      <c r="D93" s="11" t="s">
        <v>15</v>
      </c>
      <c r="E93" s="11" t="s">
        <v>35</v>
      </c>
      <c r="F93" s="15">
        <v>17500</v>
      </c>
      <c r="G93" s="15">
        <v>2800</v>
      </c>
      <c r="H93" s="16">
        <v>1</v>
      </c>
      <c r="I93" s="17">
        <v>0.16</v>
      </c>
      <c r="J93" s="11" t="s">
        <v>137</v>
      </c>
    </row>
    <row r="94" spans="1:10" x14ac:dyDescent="0.35">
      <c r="A94" s="11" t="s">
        <v>139</v>
      </c>
      <c r="B94" s="14">
        <v>45843</v>
      </c>
      <c r="C94" s="11" t="s">
        <v>27</v>
      </c>
      <c r="D94" s="11" t="s">
        <v>44</v>
      </c>
      <c r="E94" s="11" t="s">
        <v>42</v>
      </c>
      <c r="F94" s="15">
        <v>2100</v>
      </c>
      <c r="G94" s="15">
        <v>420</v>
      </c>
      <c r="H94" s="16">
        <v>25</v>
      </c>
      <c r="I94" s="17">
        <v>0.2</v>
      </c>
      <c r="J94" s="11" t="s">
        <v>137</v>
      </c>
    </row>
    <row r="95" spans="1:10" x14ac:dyDescent="0.35">
      <c r="A95" s="11" t="s">
        <v>140</v>
      </c>
      <c r="B95" s="14">
        <v>45845</v>
      </c>
      <c r="C95" s="11" t="s">
        <v>31</v>
      </c>
      <c r="D95" s="11" t="s">
        <v>48</v>
      </c>
      <c r="E95" s="11" t="s">
        <v>28</v>
      </c>
      <c r="F95" s="15">
        <v>4400</v>
      </c>
      <c r="G95" s="15">
        <v>750</v>
      </c>
      <c r="H95" s="16">
        <v>9</v>
      </c>
      <c r="I95" s="17">
        <v>0.170454545454545</v>
      </c>
      <c r="J95" s="11" t="s">
        <v>137</v>
      </c>
    </row>
    <row r="96" spans="1:10" x14ac:dyDescent="0.35">
      <c r="A96" s="11" t="s">
        <v>141</v>
      </c>
      <c r="B96" s="14">
        <v>45847</v>
      </c>
      <c r="C96" s="11" t="s">
        <v>33</v>
      </c>
      <c r="D96" s="11" t="s">
        <v>50</v>
      </c>
      <c r="E96" s="11" t="s">
        <v>28</v>
      </c>
      <c r="F96" s="15">
        <v>6000</v>
      </c>
      <c r="G96" s="15">
        <v>1050</v>
      </c>
      <c r="H96" s="16">
        <v>6</v>
      </c>
      <c r="I96" s="17">
        <v>0.17499999999999999</v>
      </c>
      <c r="J96" s="11" t="s">
        <v>137</v>
      </c>
    </row>
    <row r="97" spans="1:10" x14ac:dyDescent="0.35">
      <c r="A97" s="11" t="s">
        <v>142</v>
      </c>
      <c r="B97" s="14">
        <v>45849</v>
      </c>
      <c r="C97" s="11" t="s">
        <v>37</v>
      </c>
      <c r="D97" s="11" t="s">
        <v>52</v>
      </c>
      <c r="E97" s="11" t="s">
        <v>35</v>
      </c>
      <c r="F97" s="15">
        <v>13500</v>
      </c>
      <c r="G97" s="15">
        <v>2300</v>
      </c>
      <c r="H97" s="16">
        <v>2</v>
      </c>
      <c r="I97" s="17">
        <v>0.17037037037037001</v>
      </c>
      <c r="J97" s="11" t="s">
        <v>137</v>
      </c>
    </row>
    <row r="98" spans="1:10" x14ac:dyDescent="0.35">
      <c r="A98" s="11" t="s">
        <v>143</v>
      </c>
      <c r="B98" s="14">
        <v>45851</v>
      </c>
      <c r="C98" s="11" t="s">
        <v>27</v>
      </c>
      <c r="D98" s="11" t="s">
        <v>11</v>
      </c>
      <c r="E98" s="11" t="s">
        <v>28</v>
      </c>
      <c r="F98" s="15">
        <v>70000</v>
      </c>
      <c r="G98" s="15">
        <v>10800</v>
      </c>
      <c r="H98" s="16">
        <v>2</v>
      </c>
      <c r="I98" s="17">
        <v>0.154285714285714</v>
      </c>
      <c r="J98" s="11" t="s">
        <v>137</v>
      </c>
    </row>
    <row r="99" spans="1:10" x14ac:dyDescent="0.35">
      <c r="A99" s="11" t="s">
        <v>144</v>
      </c>
      <c r="B99" s="14">
        <v>45853</v>
      </c>
      <c r="C99" s="11" t="s">
        <v>31</v>
      </c>
      <c r="D99" s="11" t="s">
        <v>34</v>
      </c>
      <c r="E99" s="11" t="s">
        <v>35</v>
      </c>
      <c r="F99" s="15">
        <v>9800</v>
      </c>
      <c r="G99" s="15">
        <v>1600</v>
      </c>
      <c r="H99" s="16">
        <v>5</v>
      </c>
      <c r="I99" s="17">
        <v>0.16326530612244899</v>
      </c>
      <c r="J99" s="11" t="s">
        <v>137</v>
      </c>
    </row>
    <row r="100" spans="1:10" x14ac:dyDescent="0.35">
      <c r="A100" s="11" t="s">
        <v>145</v>
      </c>
      <c r="B100" s="14">
        <v>45855</v>
      </c>
      <c r="C100" s="11" t="s">
        <v>33</v>
      </c>
      <c r="D100" s="11" t="s">
        <v>14</v>
      </c>
      <c r="E100" s="11" t="s">
        <v>28</v>
      </c>
      <c r="F100" s="15">
        <v>19000</v>
      </c>
      <c r="G100" s="15">
        <v>3200</v>
      </c>
      <c r="H100" s="16">
        <v>2</v>
      </c>
      <c r="I100" s="17">
        <v>0.168421052631579</v>
      </c>
      <c r="J100" s="11" t="s">
        <v>137</v>
      </c>
    </row>
    <row r="101" spans="1:10" x14ac:dyDescent="0.35">
      <c r="A101" s="11" t="s">
        <v>146</v>
      </c>
      <c r="B101" s="14">
        <v>45857</v>
      </c>
      <c r="C101" s="11" t="s">
        <v>37</v>
      </c>
      <c r="D101" s="11" t="s">
        <v>41</v>
      </c>
      <c r="E101" s="11" t="s">
        <v>42</v>
      </c>
      <c r="F101" s="15">
        <v>3000</v>
      </c>
      <c r="G101" s="15">
        <v>620</v>
      </c>
      <c r="H101" s="16">
        <v>20</v>
      </c>
      <c r="I101" s="17">
        <v>0.206666666666667</v>
      </c>
      <c r="J101" s="11" t="s">
        <v>137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zoomScaleNormal="100" workbookViewId="0">
      <selection sqref="A1:D1"/>
    </sheetView>
  </sheetViews>
  <sheetFormatPr defaultColWidth="8.6328125" defaultRowHeight="14.5" x14ac:dyDescent="0.35"/>
  <cols>
    <col min="1" max="1" width="14" customWidth="1"/>
    <col min="2" max="2" width="20" customWidth="1"/>
    <col min="3" max="4" width="16" customWidth="1"/>
  </cols>
  <sheetData>
    <row r="1" spans="1:4" ht="18" x14ac:dyDescent="0.4">
      <c r="A1" s="1" t="s">
        <v>147</v>
      </c>
      <c r="B1" s="1"/>
      <c r="C1" s="1"/>
      <c r="D1" s="1"/>
    </row>
    <row r="3" spans="1:4" x14ac:dyDescent="0.35">
      <c r="A3" s="13" t="s">
        <v>148</v>
      </c>
      <c r="B3" s="13" t="s">
        <v>149</v>
      </c>
      <c r="C3" s="13" t="s">
        <v>150</v>
      </c>
      <c r="D3" s="13" t="s">
        <v>151</v>
      </c>
    </row>
    <row r="4" spans="1:4" x14ac:dyDescent="0.35">
      <c r="A4" s="11" t="s">
        <v>27</v>
      </c>
      <c r="B4" s="18">
        <f>SUMIF(Data!C:C,A4,Data!F:F)</f>
        <v>853600</v>
      </c>
      <c r="C4" s="18">
        <f>SUMIF(Data!C:C,A4,Data!G:G)</f>
        <v>130020</v>
      </c>
      <c r="D4" s="19">
        <f>C4/B4</f>
        <v>0.15231958762886597</v>
      </c>
    </row>
    <row r="5" spans="1:4" x14ac:dyDescent="0.35">
      <c r="A5" s="11" t="s">
        <v>33</v>
      </c>
      <c r="B5" s="18">
        <f>SUMIF(Data!C:C,A5,Data!F:F)</f>
        <v>325500</v>
      </c>
      <c r="C5" s="18">
        <f>SUMIF(Data!C:C,A5,Data!G:G)</f>
        <v>52750</v>
      </c>
      <c r="D5" s="19">
        <f>C5/B5</f>
        <v>0.1620583717357911</v>
      </c>
    </row>
    <row r="6" spans="1:4" x14ac:dyDescent="0.35">
      <c r="A6" s="11" t="s">
        <v>37</v>
      </c>
      <c r="B6" s="18">
        <f>SUMIF(Data!C:C,A6,Data!F:F)</f>
        <v>257100</v>
      </c>
      <c r="C6" s="18">
        <f>SUMIF(Data!C:C,A6,Data!G:G)</f>
        <v>42070</v>
      </c>
      <c r="D6" s="19">
        <f>C6/B6</f>
        <v>0.16363282769350448</v>
      </c>
    </row>
    <row r="7" spans="1:4" x14ac:dyDescent="0.35">
      <c r="A7" s="11" t="s">
        <v>31</v>
      </c>
      <c r="B7" s="18">
        <f>SUMIF(Data!C:C,A7,Data!F:F)</f>
        <v>230200</v>
      </c>
      <c r="C7" s="18">
        <f>SUMIF(Data!C:C,A7,Data!G:G)</f>
        <v>36640</v>
      </c>
      <c r="D7" s="19">
        <f>C7/B7</f>
        <v>0.15916594265855777</v>
      </c>
    </row>
    <row r="8" spans="1:4" x14ac:dyDescent="0.35">
      <c r="A8" s="20" t="s">
        <v>152</v>
      </c>
      <c r="B8" s="21">
        <f>SUM(B4:B7)</f>
        <v>1666400</v>
      </c>
      <c r="C8" s="21">
        <f>SUM(C4:C7)</f>
        <v>261480</v>
      </c>
      <c r="D8" s="22">
        <f>C8/B8</f>
        <v>0.15691310609697551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zoomScaleNormal="100" workbookViewId="0">
      <selection activeCell="E2" sqref="E2"/>
    </sheetView>
  </sheetViews>
  <sheetFormatPr defaultColWidth="8.6328125" defaultRowHeight="14.5" x14ac:dyDescent="0.35"/>
  <cols>
    <col min="1" max="2" width="14" customWidth="1"/>
    <col min="3" max="3" width="20" customWidth="1"/>
    <col min="4" max="4" width="14" customWidth="1"/>
  </cols>
  <sheetData>
    <row r="1" spans="1:4" ht="18" x14ac:dyDescent="0.4">
      <c r="A1" s="1" t="s">
        <v>153</v>
      </c>
      <c r="B1" s="1"/>
      <c r="C1" s="1"/>
      <c r="D1" s="1"/>
    </row>
    <row r="3" spans="1:4" x14ac:dyDescent="0.35">
      <c r="A3" s="13" t="s">
        <v>9</v>
      </c>
      <c r="B3" s="13" t="s">
        <v>154</v>
      </c>
      <c r="C3" s="13" t="s">
        <v>149</v>
      </c>
      <c r="D3" s="13" t="s">
        <v>150</v>
      </c>
    </row>
    <row r="4" spans="1:4" x14ac:dyDescent="0.35">
      <c r="A4" s="11" t="s">
        <v>11</v>
      </c>
      <c r="B4" s="11" t="s">
        <v>28</v>
      </c>
      <c r="C4" s="18">
        <f>SUMIF(Data!D:D,A4,Data!F:F)</f>
        <v>569000</v>
      </c>
      <c r="D4" s="18">
        <f>SUMIF(Data!D:D,A4,Data!G:G)</f>
        <v>86500</v>
      </c>
    </row>
    <row r="5" spans="1:4" x14ac:dyDescent="0.35">
      <c r="A5" s="11" t="s">
        <v>12</v>
      </c>
      <c r="B5" s="11" t="s">
        <v>28</v>
      </c>
      <c r="C5" s="18">
        <f>SUMIF(Data!D:D,A5,Data!F:F)</f>
        <v>273000</v>
      </c>
      <c r="D5" s="18">
        <f>SUMIF(Data!D:D,A5,Data!G:G)</f>
        <v>40900</v>
      </c>
    </row>
    <row r="6" spans="1:4" x14ac:dyDescent="0.35">
      <c r="A6" s="11" t="s">
        <v>13</v>
      </c>
      <c r="B6" s="11" t="s">
        <v>28</v>
      </c>
      <c r="C6" s="18">
        <f>SUMIF(Data!D:D,A6,Data!F:F)</f>
        <v>154000</v>
      </c>
      <c r="D6" s="18">
        <f>SUMIF(Data!D:D,A6,Data!G:G)</f>
        <v>24400</v>
      </c>
    </row>
    <row r="7" spans="1:4" x14ac:dyDescent="0.35">
      <c r="A7" s="11" t="s">
        <v>14</v>
      </c>
      <c r="B7" s="11" t="s">
        <v>28</v>
      </c>
      <c r="C7" s="18">
        <f>SUMIF(Data!D:D,A7,Data!F:F)</f>
        <v>153000</v>
      </c>
      <c r="D7" s="18">
        <f>SUMIF(Data!D:D,A7,Data!G:G)</f>
        <v>25200</v>
      </c>
    </row>
    <row r="8" spans="1:4" x14ac:dyDescent="0.35">
      <c r="A8" s="11" t="s">
        <v>15</v>
      </c>
      <c r="B8" s="11" t="s">
        <v>35</v>
      </c>
      <c r="C8" s="18">
        <f>SUMIF(Data!D:D,A8,Data!F:F)</f>
        <v>126000</v>
      </c>
      <c r="D8" s="18">
        <f>SUMIF(Data!D:D,A8,Data!G:G)</f>
        <v>19600</v>
      </c>
    </row>
    <row r="9" spans="1:4" x14ac:dyDescent="0.35">
      <c r="A9" s="11" t="s">
        <v>38</v>
      </c>
      <c r="B9" s="11" t="s">
        <v>35</v>
      </c>
      <c r="C9" s="18">
        <f>SUMIF(Data!D:D,A9,Data!F:F)</f>
        <v>110000</v>
      </c>
      <c r="D9" s="18">
        <f>SUMIF(Data!D:D,A9,Data!G:G)</f>
        <v>17200</v>
      </c>
    </row>
    <row r="10" spans="1:4" x14ac:dyDescent="0.35">
      <c r="A10" s="11" t="s">
        <v>52</v>
      </c>
      <c r="B10" s="11" t="s">
        <v>35</v>
      </c>
      <c r="C10" s="18">
        <f>SUMIF(Data!D:D,A10,Data!F:F)</f>
        <v>94000</v>
      </c>
      <c r="D10" s="18">
        <f>SUMIF(Data!D:D,A10,Data!G:G)</f>
        <v>15600</v>
      </c>
    </row>
    <row r="11" spans="1:4" x14ac:dyDescent="0.35">
      <c r="A11" s="11" t="s">
        <v>34</v>
      </c>
      <c r="B11" s="11" t="s">
        <v>35</v>
      </c>
      <c r="C11" s="18">
        <f>SUMIF(Data!D:D,A11,Data!F:F)</f>
        <v>78500</v>
      </c>
      <c r="D11" s="18">
        <f>SUMIF(Data!D:D,A11,Data!G:G)</f>
        <v>12450</v>
      </c>
    </row>
    <row r="12" spans="1:4" x14ac:dyDescent="0.35">
      <c r="A12" s="11" t="s">
        <v>50</v>
      </c>
      <c r="B12" s="11" t="s">
        <v>28</v>
      </c>
      <c r="C12" s="18">
        <f>SUMIF(Data!D:D,A12,Data!F:F)</f>
        <v>42300</v>
      </c>
      <c r="D12" s="18">
        <f>SUMIF(Data!D:D,A12,Data!G:G)</f>
        <v>7000</v>
      </c>
    </row>
    <row r="13" spans="1:4" x14ac:dyDescent="0.35">
      <c r="A13" s="11" t="s">
        <v>48</v>
      </c>
      <c r="B13" s="11" t="s">
        <v>28</v>
      </c>
      <c r="C13" s="18">
        <f>SUMIF(Data!D:D,A13,Data!F:F)</f>
        <v>29700</v>
      </c>
      <c r="D13" s="18">
        <f>SUMIF(Data!D:D,A13,Data!G:G)</f>
        <v>5090</v>
      </c>
    </row>
    <row r="14" spans="1:4" x14ac:dyDescent="0.35">
      <c r="A14" s="11" t="s">
        <v>41</v>
      </c>
      <c r="B14" s="11" t="s">
        <v>42</v>
      </c>
      <c r="C14" s="18">
        <f>SUMIF(Data!D:D,A14,Data!F:F)</f>
        <v>23100</v>
      </c>
      <c r="D14" s="18">
        <f>SUMIF(Data!D:D,A14,Data!G:G)</f>
        <v>4770</v>
      </c>
    </row>
    <row r="15" spans="1:4" x14ac:dyDescent="0.35">
      <c r="A15" s="11" t="s">
        <v>44</v>
      </c>
      <c r="B15" s="11" t="s">
        <v>42</v>
      </c>
      <c r="C15" s="18">
        <f>SUMIF(Data!D:D,A15,Data!F:F)</f>
        <v>13800</v>
      </c>
      <c r="D15" s="18">
        <f>SUMIF(Data!D:D,A15,Data!G:G)</f>
        <v>2770</v>
      </c>
    </row>
    <row r="16" spans="1:4" x14ac:dyDescent="0.35">
      <c r="A16" s="20" t="s">
        <v>152</v>
      </c>
      <c r="B16" s="20"/>
      <c r="C16" s="21">
        <f>SUM(C4:C15)</f>
        <v>1666400</v>
      </c>
      <c r="D16" s="21">
        <f>SUM(D4:D15)</f>
        <v>261480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zoomScaleNormal="100" workbookViewId="0">
      <selection sqref="A1:C1"/>
    </sheetView>
  </sheetViews>
  <sheetFormatPr defaultColWidth="8.6328125" defaultRowHeight="14.5" x14ac:dyDescent="0.35"/>
  <cols>
    <col min="1" max="1" width="10" customWidth="1"/>
    <col min="2" max="2" width="20" customWidth="1"/>
    <col min="3" max="3" width="14" customWidth="1"/>
  </cols>
  <sheetData>
    <row r="1" spans="1:3" ht="18" x14ac:dyDescent="0.4">
      <c r="A1" s="1" t="s">
        <v>155</v>
      </c>
      <c r="B1" s="1"/>
      <c r="C1" s="1"/>
    </row>
    <row r="3" spans="1:3" x14ac:dyDescent="0.35">
      <c r="A3" s="13" t="s">
        <v>156</v>
      </c>
      <c r="B3" s="13" t="s">
        <v>149</v>
      </c>
      <c r="C3" s="13" t="s">
        <v>150</v>
      </c>
    </row>
    <row r="4" spans="1:3" x14ac:dyDescent="0.35">
      <c r="A4" s="11" t="s">
        <v>29</v>
      </c>
      <c r="B4" s="18">
        <f>SUMIF(Data!J:J,A4,Data!F:F)</f>
        <v>253200</v>
      </c>
      <c r="C4" s="18">
        <f>SUMIF(Data!J:J,A4,Data!G:G)</f>
        <v>38550</v>
      </c>
    </row>
    <row r="5" spans="1:3" x14ac:dyDescent="0.35">
      <c r="A5" s="11" t="s">
        <v>57</v>
      </c>
      <c r="B5" s="18">
        <f>SUMIF(Data!J:J,A5,Data!F:F)</f>
        <v>228800</v>
      </c>
      <c r="C5" s="18">
        <f>SUMIF(Data!J:J,A5,Data!G:G)</f>
        <v>35150</v>
      </c>
    </row>
    <row r="6" spans="1:3" x14ac:dyDescent="0.35">
      <c r="A6" s="11" t="s">
        <v>73</v>
      </c>
      <c r="B6" s="18">
        <f>SUMIF(Data!J:J,A6,Data!F:F)</f>
        <v>227800</v>
      </c>
      <c r="C6" s="18">
        <f>SUMIF(Data!J:J,A6,Data!G:G)</f>
        <v>35630</v>
      </c>
    </row>
    <row r="7" spans="1:3" x14ac:dyDescent="0.35">
      <c r="A7" s="11" t="s">
        <v>89</v>
      </c>
      <c r="B7" s="18">
        <f>SUMIF(Data!J:J,A7,Data!F:F)</f>
        <v>220200</v>
      </c>
      <c r="C7" s="18">
        <f>SUMIF(Data!J:J,A7,Data!G:G)</f>
        <v>34820</v>
      </c>
    </row>
    <row r="8" spans="1:3" x14ac:dyDescent="0.35">
      <c r="A8" s="11" t="s">
        <v>105</v>
      </c>
      <c r="B8" s="18">
        <f>SUMIF(Data!J:J,A8,Data!F:F)</f>
        <v>299400</v>
      </c>
      <c r="C8" s="18">
        <f>SUMIF(Data!J:J,A8,Data!G:G)</f>
        <v>47340</v>
      </c>
    </row>
    <row r="9" spans="1:3" x14ac:dyDescent="0.35">
      <c r="A9" s="11" t="s">
        <v>121</v>
      </c>
      <c r="B9" s="18">
        <f>SUMIF(Data!J:J,A9,Data!F:F)</f>
        <v>270700</v>
      </c>
      <c r="C9" s="18">
        <f>SUMIF(Data!J:J,A9,Data!G:G)</f>
        <v>43050</v>
      </c>
    </row>
    <row r="10" spans="1:3" x14ac:dyDescent="0.35">
      <c r="A10" s="11" t="s">
        <v>137</v>
      </c>
      <c r="B10" s="18">
        <f>SUMIF(Data!J:J,A10,Data!F:F)</f>
        <v>166300</v>
      </c>
      <c r="C10" s="18">
        <f>SUMIF(Data!J:J,A10,Data!G:G)</f>
        <v>26940</v>
      </c>
    </row>
    <row r="11" spans="1:3" x14ac:dyDescent="0.35">
      <c r="A11" s="20" t="s">
        <v>152</v>
      </c>
      <c r="B11" s="21">
        <f>SUM(B4:B10)</f>
        <v>1666400</v>
      </c>
      <c r="C11" s="21">
        <f>SUM(C4:C10)</f>
        <v>261480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zoomScaleNormal="100" workbookViewId="0">
      <selection sqref="A1:C1"/>
    </sheetView>
  </sheetViews>
  <sheetFormatPr defaultColWidth="8.6328125" defaultRowHeight="14.5" x14ac:dyDescent="0.35"/>
  <cols>
    <col min="1" max="1" width="14" customWidth="1"/>
    <col min="2" max="2" width="20" customWidth="1"/>
    <col min="3" max="3" width="14" customWidth="1"/>
  </cols>
  <sheetData>
    <row r="1" spans="1:3" ht="18" x14ac:dyDescent="0.4">
      <c r="A1" s="1" t="s">
        <v>157</v>
      </c>
      <c r="B1" s="1"/>
      <c r="C1" s="1"/>
    </row>
    <row r="3" spans="1:3" x14ac:dyDescent="0.35">
      <c r="A3" s="13" t="s">
        <v>154</v>
      </c>
      <c r="B3" s="13" t="s">
        <v>149</v>
      </c>
      <c r="C3" s="13" t="s">
        <v>150</v>
      </c>
    </row>
    <row r="4" spans="1:3" x14ac:dyDescent="0.35">
      <c r="A4" s="11" t="s">
        <v>28</v>
      </c>
      <c r="B4" s="18">
        <f>SUMIF(Data!E:E,A4,Data!F:F)</f>
        <v>1221000</v>
      </c>
      <c r="C4" s="18">
        <f>SUMIF(Data!E:E,A4,Data!G:G)</f>
        <v>189090</v>
      </c>
    </row>
    <row r="5" spans="1:3" x14ac:dyDescent="0.35">
      <c r="A5" s="11" t="s">
        <v>35</v>
      </c>
      <c r="B5" s="18">
        <f>SUMIF(Data!E:E,A5,Data!F:F)</f>
        <v>408500</v>
      </c>
      <c r="C5" s="18">
        <f>SUMIF(Data!E:E,A5,Data!G:G)</f>
        <v>64850</v>
      </c>
    </row>
    <row r="6" spans="1:3" x14ac:dyDescent="0.35">
      <c r="A6" s="11" t="s">
        <v>42</v>
      </c>
      <c r="B6" s="18">
        <f>SUMIF(Data!E:E,A6,Data!F:F)</f>
        <v>36900</v>
      </c>
      <c r="C6" s="18">
        <f>SUMIF(Data!E:E,A6,Data!G:G)</f>
        <v>7540</v>
      </c>
    </row>
    <row r="7" spans="1:3" x14ac:dyDescent="0.35">
      <c r="A7" s="20" t="s">
        <v>152</v>
      </c>
      <c r="B7" s="21">
        <f>SUM(B4:B6)</f>
        <v>1666400</v>
      </c>
      <c r="C7" s="21">
        <f>SUM(C4:C6)</f>
        <v>261480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Dashboard_Summary</vt:lpstr>
      <vt:lpstr>Data</vt:lpstr>
      <vt:lpstr>Pivot_Region</vt:lpstr>
      <vt:lpstr>Pivot_Product</vt:lpstr>
      <vt:lpstr>Pivot_Monthly</vt:lpstr>
      <vt:lpstr>Pivot_Category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chauhan1307ajay@gmail.com</cp:lastModifiedBy>
  <cp:revision>1</cp:revision>
  <dcterms:created xsi:type="dcterms:W3CDTF">2026-06-26T06:59:14Z</dcterms:created>
  <dcterms:modified xsi:type="dcterms:W3CDTF">2026-06-26T08:44:32Z</dcterms:modified>
  <dc:language>en-US</dc:language>
</cp:coreProperties>
</file>